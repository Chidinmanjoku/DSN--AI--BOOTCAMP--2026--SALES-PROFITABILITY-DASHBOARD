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 PROJECT ENTRY\"/>
    </mc:Choice>
  </mc:AlternateContent>
  <xr:revisionPtr revIDLastSave="0" documentId="13_ncr:1_{A544E923-BF8A-4C72-97B6-E4CDB9DFCE8C}" xr6:coauthVersionLast="47" xr6:coauthVersionMax="47" xr10:uidLastSave="{00000000-0000-0000-0000-000000000000}"/>
  <bookViews>
    <workbookView xWindow="-110" yWindow="-110" windowWidth="19420" windowHeight="10300" activeTab="1" xr2:uid="{1820017A-48C9-4458-AB1D-29731FDD63B2}"/>
  </bookViews>
  <sheets>
    <sheet name="Raw_Data" sheetId="1" r:id="rId1"/>
    <sheet name="Cleaned_Data" sheetId="2" r:id="rId2"/>
    <sheet name="Market_Profit_Pivot" sheetId="4" r:id="rId3"/>
    <sheet name="Product_Category_PivotTable" sheetId="5" r:id="rId4"/>
    <sheet name="Channel _Return_Pivot" sheetId="6" r:id="rId5"/>
    <sheet name="Monthly_Revenue_Pivot" sheetId="7" r:id="rId6"/>
    <sheet name="Data_Quality_Audit" sheetId="3" r:id="rId7"/>
  </sheets>
  <definedNames>
    <definedName name="_xlnm._FilterDatabase" localSheetId="1" hidden="1">Cleaned_Data!$A$1:$X$421</definedName>
  </definedNames>
  <calcPr calcId="191028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6" l="1"/>
  <c r="H7" i="6"/>
  <c r="H8" i="6"/>
  <c r="H6" i="6"/>
  <c r="X3" i="2" l="1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2" i="2"/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2" i="2"/>
  <c r="R418" i="2" l="1"/>
  <c r="T418" i="2"/>
  <c r="R410" i="2"/>
  <c r="T410" i="2"/>
  <c r="R402" i="2"/>
  <c r="T402" i="2"/>
  <c r="R390" i="2"/>
  <c r="T390" i="2"/>
  <c r="R382" i="2"/>
  <c r="T382" i="2"/>
  <c r="R374" i="2"/>
  <c r="T374" i="2"/>
  <c r="R366" i="2"/>
  <c r="T366" i="2"/>
  <c r="R362" i="2"/>
  <c r="T362" i="2"/>
  <c r="R354" i="2"/>
  <c r="T354" i="2"/>
  <c r="R346" i="2"/>
  <c r="T346" i="2"/>
  <c r="R338" i="2"/>
  <c r="T338" i="2"/>
  <c r="R330" i="2"/>
  <c r="T330" i="2"/>
  <c r="R326" i="2"/>
  <c r="T326" i="2"/>
  <c r="R318" i="2"/>
  <c r="T318" i="2"/>
  <c r="R306" i="2"/>
  <c r="T306" i="2"/>
  <c r="R298" i="2"/>
  <c r="T298" i="2"/>
  <c r="R290" i="2"/>
  <c r="T290" i="2"/>
  <c r="R282" i="2"/>
  <c r="T282" i="2"/>
  <c r="R274" i="2"/>
  <c r="T274" i="2"/>
  <c r="R266" i="2"/>
  <c r="T266" i="2"/>
  <c r="R258" i="2"/>
  <c r="T258" i="2"/>
  <c r="R250" i="2"/>
  <c r="T250" i="2"/>
  <c r="R242" i="2"/>
  <c r="T242" i="2"/>
  <c r="R234" i="2"/>
  <c r="T234" i="2"/>
  <c r="R226" i="2"/>
  <c r="T226" i="2"/>
  <c r="R218" i="2"/>
  <c r="T218" i="2"/>
  <c r="R210" i="2"/>
  <c r="T210" i="2"/>
  <c r="R202" i="2"/>
  <c r="T202" i="2"/>
  <c r="R194" i="2"/>
  <c r="T194" i="2"/>
  <c r="R186" i="2"/>
  <c r="T186" i="2"/>
  <c r="R178" i="2"/>
  <c r="T178" i="2"/>
  <c r="R170" i="2"/>
  <c r="T170" i="2"/>
  <c r="R162" i="2"/>
  <c r="T162" i="2"/>
  <c r="R154" i="2"/>
  <c r="T154" i="2"/>
  <c r="R146" i="2"/>
  <c r="T146" i="2"/>
  <c r="R138" i="2"/>
  <c r="T138" i="2"/>
  <c r="R130" i="2"/>
  <c r="T130" i="2"/>
  <c r="R122" i="2"/>
  <c r="T122" i="2"/>
  <c r="R114" i="2"/>
  <c r="T114" i="2"/>
  <c r="R106" i="2"/>
  <c r="T106" i="2"/>
  <c r="R98" i="2"/>
  <c r="T98" i="2"/>
  <c r="R90" i="2"/>
  <c r="T90" i="2"/>
  <c r="R82" i="2"/>
  <c r="T82" i="2"/>
  <c r="R70" i="2"/>
  <c r="T70" i="2"/>
  <c r="R62" i="2"/>
  <c r="T62" i="2"/>
  <c r="R54" i="2"/>
  <c r="T54" i="2"/>
  <c r="R46" i="2"/>
  <c r="T46" i="2"/>
  <c r="R38" i="2"/>
  <c r="T38" i="2"/>
  <c r="R30" i="2"/>
  <c r="T30" i="2"/>
  <c r="R22" i="2"/>
  <c r="T22" i="2"/>
  <c r="R14" i="2"/>
  <c r="T14" i="2"/>
  <c r="R10" i="2"/>
  <c r="T10" i="2"/>
  <c r="R421" i="2"/>
  <c r="T421" i="2"/>
  <c r="R413" i="2"/>
  <c r="T413" i="2"/>
  <c r="R409" i="2"/>
  <c r="T409" i="2"/>
  <c r="R401" i="2"/>
  <c r="T401" i="2"/>
  <c r="R393" i="2"/>
  <c r="T393" i="2"/>
  <c r="R385" i="2"/>
  <c r="T385" i="2"/>
  <c r="R377" i="2"/>
  <c r="T377" i="2"/>
  <c r="R373" i="2"/>
  <c r="T373" i="2"/>
  <c r="R365" i="2"/>
  <c r="T365" i="2"/>
  <c r="R353" i="2"/>
  <c r="T353" i="2"/>
  <c r="R349" i="2"/>
  <c r="T349" i="2"/>
  <c r="R337" i="2"/>
  <c r="T337" i="2"/>
  <c r="R329" i="2"/>
  <c r="T329" i="2"/>
  <c r="R321" i="2"/>
  <c r="T321" i="2"/>
  <c r="R313" i="2"/>
  <c r="T313" i="2"/>
  <c r="R305" i="2"/>
  <c r="T305" i="2"/>
  <c r="R297" i="2"/>
  <c r="T297" i="2"/>
  <c r="R289" i="2"/>
  <c r="T289" i="2"/>
  <c r="R285" i="2"/>
  <c r="T285" i="2"/>
  <c r="R277" i="2"/>
  <c r="T277" i="2"/>
  <c r="R269" i="2"/>
  <c r="T269" i="2"/>
  <c r="R261" i="2"/>
  <c r="T261" i="2"/>
  <c r="R253" i="2"/>
  <c r="T253" i="2"/>
  <c r="R245" i="2"/>
  <c r="T245" i="2"/>
  <c r="R237" i="2"/>
  <c r="T237" i="2"/>
  <c r="R229" i="2"/>
  <c r="T229" i="2"/>
  <c r="R221" i="2"/>
  <c r="T221" i="2"/>
  <c r="R213" i="2"/>
  <c r="T213" i="2"/>
  <c r="R205" i="2"/>
  <c r="T205" i="2"/>
  <c r="R197" i="2"/>
  <c r="T197" i="2"/>
  <c r="R189" i="2"/>
  <c r="T189" i="2"/>
  <c r="R181" i="2"/>
  <c r="T181" i="2"/>
  <c r="R173" i="2"/>
  <c r="T173" i="2"/>
  <c r="R165" i="2"/>
  <c r="T165" i="2"/>
  <c r="R157" i="2"/>
  <c r="T157" i="2"/>
  <c r="R149" i="2"/>
  <c r="T149" i="2"/>
  <c r="R141" i="2"/>
  <c r="T141" i="2"/>
  <c r="R137" i="2"/>
  <c r="T137" i="2"/>
  <c r="R129" i="2"/>
  <c r="T129" i="2"/>
  <c r="R121" i="2"/>
  <c r="T121" i="2"/>
  <c r="R117" i="2"/>
  <c r="T117" i="2"/>
  <c r="R109" i="2"/>
  <c r="T109" i="2"/>
  <c r="R101" i="2"/>
  <c r="T101" i="2"/>
  <c r="R97" i="2"/>
  <c r="T97" i="2"/>
  <c r="R89" i="2"/>
  <c r="T89" i="2"/>
  <c r="R81" i="2"/>
  <c r="T81" i="2"/>
  <c r="R73" i="2"/>
  <c r="T73" i="2"/>
  <c r="R65" i="2"/>
  <c r="T65" i="2"/>
  <c r="R57" i="2"/>
  <c r="T57" i="2"/>
  <c r="R49" i="2"/>
  <c r="T49" i="2"/>
  <c r="R45" i="2"/>
  <c r="T45" i="2"/>
  <c r="R37" i="2"/>
  <c r="T37" i="2"/>
  <c r="R29" i="2"/>
  <c r="T29" i="2"/>
  <c r="R21" i="2"/>
  <c r="T21" i="2"/>
  <c r="R13" i="2"/>
  <c r="T13" i="2"/>
  <c r="R5" i="2"/>
  <c r="T5" i="2"/>
  <c r="R420" i="2"/>
  <c r="T420" i="2"/>
  <c r="R416" i="2"/>
  <c r="T416" i="2"/>
  <c r="R412" i="2"/>
  <c r="T412" i="2"/>
  <c r="R408" i="2"/>
  <c r="T408" i="2"/>
  <c r="R404" i="2"/>
  <c r="T404" i="2"/>
  <c r="R400" i="2"/>
  <c r="T400" i="2"/>
  <c r="R396" i="2"/>
  <c r="T396" i="2"/>
  <c r="R392" i="2"/>
  <c r="T392" i="2"/>
  <c r="R388" i="2"/>
  <c r="T388" i="2"/>
  <c r="R384" i="2"/>
  <c r="T384" i="2"/>
  <c r="R380" i="2"/>
  <c r="T380" i="2"/>
  <c r="R376" i="2"/>
  <c r="T376" i="2"/>
  <c r="R372" i="2"/>
  <c r="T372" i="2"/>
  <c r="R368" i="2"/>
  <c r="T368" i="2"/>
  <c r="R364" i="2"/>
  <c r="T364" i="2"/>
  <c r="R360" i="2"/>
  <c r="T360" i="2"/>
  <c r="R356" i="2"/>
  <c r="T356" i="2"/>
  <c r="R352" i="2"/>
  <c r="T352" i="2"/>
  <c r="R348" i="2"/>
  <c r="T348" i="2"/>
  <c r="R344" i="2"/>
  <c r="T344" i="2"/>
  <c r="R340" i="2"/>
  <c r="T340" i="2"/>
  <c r="R336" i="2"/>
  <c r="T336" i="2"/>
  <c r="R332" i="2"/>
  <c r="T332" i="2"/>
  <c r="R328" i="2"/>
  <c r="T328" i="2"/>
  <c r="R324" i="2"/>
  <c r="T324" i="2"/>
  <c r="R320" i="2"/>
  <c r="T320" i="2"/>
  <c r="R316" i="2"/>
  <c r="T316" i="2"/>
  <c r="R312" i="2"/>
  <c r="T312" i="2"/>
  <c r="R308" i="2"/>
  <c r="T308" i="2"/>
  <c r="R304" i="2"/>
  <c r="T304" i="2"/>
  <c r="R300" i="2"/>
  <c r="T300" i="2"/>
  <c r="R296" i="2"/>
  <c r="T296" i="2"/>
  <c r="R292" i="2"/>
  <c r="T292" i="2"/>
  <c r="R288" i="2"/>
  <c r="T288" i="2"/>
  <c r="R284" i="2"/>
  <c r="T284" i="2"/>
  <c r="R280" i="2"/>
  <c r="T280" i="2"/>
  <c r="R276" i="2"/>
  <c r="T276" i="2"/>
  <c r="R272" i="2"/>
  <c r="T272" i="2"/>
  <c r="R268" i="2"/>
  <c r="T268" i="2"/>
  <c r="R264" i="2"/>
  <c r="T264" i="2"/>
  <c r="R260" i="2"/>
  <c r="T260" i="2"/>
  <c r="R256" i="2"/>
  <c r="T256" i="2"/>
  <c r="R252" i="2"/>
  <c r="T252" i="2"/>
  <c r="R248" i="2"/>
  <c r="T248" i="2"/>
  <c r="R244" i="2"/>
  <c r="T244" i="2"/>
  <c r="R240" i="2"/>
  <c r="T240" i="2"/>
  <c r="R236" i="2"/>
  <c r="T236" i="2"/>
  <c r="R232" i="2"/>
  <c r="T232" i="2"/>
  <c r="R228" i="2"/>
  <c r="T228" i="2"/>
  <c r="R224" i="2"/>
  <c r="T224" i="2"/>
  <c r="R220" i="2"/>
  <c r="T220" i="2"/>
  <c r="R216" i="2"/>
  <c r="T216" i="2"/>
  <c r="R212" i="2"/>
  <c r="T212" i="2"/>
  <c r="R208" i="2"/>
  <c r="T208" i="2"/>
  <c r="R204" i="2"/>
  <c r="T204" i="2"/>
  <c r="R200" i="2"/>
  <c r="T200" i="2"/>
  <c r="R196" i="2"/>
  <c r="T196" i="2"/>
  <c r="R192" i="2"/>
  <c r="T192" i="2"/>
  <c r="R188" i="2"/>
  <c r="T188" i="2"/>
  <c r="R184" i="2"/>
  <c r="T184" i="2"/>
  <c r="R180" i="2"/>
  <c r="T180" i="2"/>
  <c r="R176" i="2"/>
  <c r="T176" i="2"/>
  <c r="R172" i="2"/>
  <c r="T172" i="2"/>
  <c r="R168" i="2"/>
  <c r="T168" i="2"/>
  <c r="R164" i="2"/>
  <c r="T164" i="2"/>
  <c r="R160" i="2"/>
  <c r="T160" i="2"/>
  <c r="R156" i="2"/>
  <c r="T156" i="2"/>
  <c r="R152" i="2"/>
  <c r="T152" i="2"/>
  <c r="R148" i="2"/>
  <c r="T148" i="2"/>
  <c r="R144" i="2"/>
  <c r="T144" i="2"/>
  <c r="R140" i="2"/>
  <c r="T140" i="2"/>
  <c r="R136" i="2"/>
  <c r="T136" i="2"/>
  <c r="R132" i="2"/>
  <c r="T132" i="2"/>
  <c r="R128" i="2"/>
  <c r="T128" i="2"/>
  <c r="R124" i="2"/>
  <c r="T124" i="2"/>
  <c r="R120" i="2"/>
  <c r="T120" i="2"/>
  <c r="R116" i="2"/>
  <c r="T116" i="2"/>
  <c r="R112" i="2"/>
  <c r="T112" i="2"/>
  <c r="R108" i="2"/>
  <c r="T108" i="2"/>
  <c r="R104" i="2"/>
  <c r="T104" i="2"/>
  <c r="R100" i="2"/>
  <c r="T100" i="2"/>
  <c r="R96" i="2"/>
  <c r="T96" i="2"/>
  <c r="R92" i="2"/>
  <c r="T92" i="2"/>
  <c r="R88" i="2"/>
  <c r="T88" i="2"/>
  <c r="R84" i="2"/>
  <c r="T84" i="2"/>
  <c r="R80" i="2"/>
  <c r="T80" i="2"/>
  <c r="R76" i="2"/>
  <c r="T76" i="2"/>
  <c r="R72" i="2"/>
  <c r="T72" i="2"/>
  <c r="R68" i="2"/>
  <c r="T68" i="2"/>
  <c r="R64" i="2"/>
  <c r="T64" i="2"/>
  <c r="R60" i="2"/>
  <c r="T60" i="2"/>
  <c r="R56" i="2"/>
  <c r="T56" i="2"/>
  <c r="R52" i="2"/>
  <c r="T52" i="2"/>
  <c r="R48" i="2"/>
  <c r="T48" i="2"/>
  <c r="R44" i="2"/>
  <c r="T44" i="2"/>
  <c r="R40" i="2"/>
  <c r="T40" i="2"/>
  <c r="R36" i="2"/>
  <c r="T36" i="2"/>
  <c r="R32" i="2"/>
  <c r="T32" i="2"/>
  <c r="R28" i="2"/>
  <c r="T28" i="2"/>
  <c r="R24" i="2"/>
  <c r="T24" i="2"/>
  <c r="R20" i="2"/>
  <c r="T20" i="2"/>
  <c r="R16" i="2"/>
  <c r="T16" i="2"/>
  <c r="R12" i="2"/>
  <c r="T12" i="2"/>
  <c r="R8" i="2"/>
  <c r="T8" i="2"/>
  <c r="R4" i="2"/>
  <c r="T4" i="2"/>
  <c r="R2" i="2"/>
  <c r="T2" i="2"/>
  <c r="R414" i="2"/>
  <c r="T414" i="2"/>
  <c r="R406" i="2"/>
  <c r="T406" i="2"/>
  <c r="R398" i="2"/>
  <c r="T398" i="2"/>
  <c r="R394" i="2"/>
  <c r="T394" i="2"/>
  <c r="R386" i="2"/>
  <c r="T386" i="2"/>
  <c r="R378" i="2"/>
  <c r="T378" i="2"/>
  <c r="R370" i="2"/>
  <c r="T370" i="2"/>
  <c r="R358" i="2"/>
  <c r="T358" i="2"/>
  <c r="R350" i="2"/>
  <c r="T350" i="2"/>
  <c r="R342" i="2"/>
  <c r="T342" i="2"/>
  <c r="R334" i="2"/>
  <c r="T334" i="2"/>
  <c r="R322" i="2"/>
  <c r="T322" i="2"/>
  <c r="R314" i="2"/>
  <c r="T314" i="2"/>
  <c r="R310" i="2"/>
  <c r="T310" i="2"/>
  <c r="R302" i="2"/>
  <c r="T302" i="2"/>
  <c r="R294" i="2"/>
  <c r="T294" i="2"/>
  <c r="R286" i="2"/>
  <c r="T286" i="2"/>
  <c r="R278" i="2"/>
  <c r="T278" i="2"/>
  <c r="R270" i="2"/>
  <c r="T270" i="2"/>
  <c r="R262" i="2"/>
  <c r="T262" i="2"/>
  <c r="R254" i="2"/>
  <c r="T254" i="2"/>
  <c r="R246" i="2"/>
  <c r="T246" i="2"/>
  <c r="R238" i="2"/>
  <c r="T238" i="2"/>
  <c r="R230" i="2"/>
  <c r="T230" i="2"/>
  <c r="R222" i="2"/>
  <c r="T222" i="2"/>
  <c r="R214" i="2"/>
  <c r="T214" i="2"/>
  <c r="R206" i="2"/>
  <c r="T206" i="2"/>
  <c r="R198" i="2"/>
  <c r="T198" i="2"/>
  <c r="R190" i="2"/>
  <c r="T190" i="2"/>
  <c r="R182" i="2"/>
  <c r="T182" i="2"/>
  <c r="R174" i="2"/>
  <c r="T174" i="2"/>
  <c r="R166" i="2"/>
  <c r="T166" i="2"/>
  <c r="R158" i="2"/>
  <c r="T158" i="2"/>
  <c r="R150" i="2"/>
  <c r="T150" i="2"/>
  <c r="R142" i="2"/>
  <c r="T142" i="2"/>
  <c r="R134" i="2"/>
  <c r="T134" i="2"/>
  <c r="R126" i="2"/>
  <c r="T126" i="2"/>
  <c r="R118" i="2"/>
  <c r="T118" i="2"/>
  <c r="R110" i="2"/>
  <c r="T110" i="2"/>
  <c r="R102" i="2"/>
  <c r="T102" i="2"/>
  <c r="R94" i="2"/>
  <c r="T94" i="2"/>
  <c r="R86" i="2"/>
  <c r="T86" i="2"/>
  <c r="R78" i="2"/>
  <c r="T78" i="2"/>
  <c r="R74" i="2"/>
  <c r="T74" i="2"/>
  <c r="R66" i="2"/>
  <c r="T66" i="2"/>
  <c r="R58" i="2"/>
  <c r="T58" i="2"/>
  <c r="R50" i="2"/>
  <c r="T50" i="2"/>
  <c r="R42" i="2"/>
  <c r="T42" i="2"/>
  <c r="R34" i="2"/>
  <c r="T34" i="2"/>
  <c r="R26" i="2"/>
  <c r="T26" i="2"/>
  <c r="R18" i="2"/>
  <c r="T18" i="2"/>
  <c r="R6" i="2"/>
  <c r="T6" i="2"/>
  <c r="R417" i="2"/>
  <c r="T417" i="2"/>
  <c r="R405" i="2"/>
  <c r="T405" i="2"/>
  <c r="R397" i="2"/>
  <c r="T397" i="2"/>
  <c r="R389" i="2"/>
  <c r="T389" i="2"/>
  <c r="R381" i="2"/>
  <c r="T381" i="2"/>
  <c r="R369" i="2"/>
  <c r="T369" i="2"/>
  <c r="R361" i="2"/>
  <c r="T361" i="2"/>
  <c r="R357" i="2"/>
  <c r="T357" i="2"/>
  <c r="R345" i="2"/>
  <c r="T345" i="2"/>
  <c r="R341" i="2"/>
  <c r="T341" i="2"/>
  <c r="R333" i="2"/>
  <c r="T333" i="2"/>
  <c r="R325" i="2"/>
  <c r="T325" i="2"/>
  <c r="R317" i="2"/>
  <c r="T317" i="2"/>
  <c r="R309" i="2"/>
  <c r="T309" i="2"/>
  <c r="R301" i="2"/>
  <c r="T301" i="2"/>
  <c r="R293" i="2"/>
  <c r="T293" i="2"/>
  <c r="R281" i="2"/>
  <c r="T281" i="2"/>
  <c r="R273" i="2"/>
  <c r="T273" i="2"/>
  <c r="R265" i="2"/>
  <c r="T265" i="2"/>
  <c r="R257" i="2"/>
  <c r="T257" i="2"/>
  <c r="R249" i="2"/>
  <c r="T249" i="2"/>
  <c r="R241" i="2"/>
  <c r="T241" i="2"/>
  <c r="R233" i="2"/>
  <c r="T233" i="2"/>
  <c r="R225" i="2"/>
  <c r="T225" i="2"/>
  <c r="R217" i="2"/>
  <c r="T217" i="2"/>
  <c r="R209" i="2"/>
  <c r="T209" i="2"/>
  <c r="R201" i="2"/>
  <c r="T201" i="2"/>
  <c r="R193" i="2"/>
  <c r="T193" i="2"/>
  <c r="R185" i="2"/>
  <c r="T185" i="2"/>
  <c r="R177" i="2"/>
  <c r="T177" i="2"/>
  <c r="R169" i="2"/>
  <c r="T169" i="2"/>
  <c r="R161" i="2"/>
  <c r="T161" i="2"/>
  <c r="R153" i="2"/>
  <c r="T153" i="2"/>
  <c r="R145" i="2"/>
  <c r="T145" i="2"/>
  <c r="R133" i="2"/>
  <c r="T133" i="2"/>
  <c r="R125" i="2"/>
  <c r="T125" i="2"/>
  <c r="R113" i="2"/>
  <c r="T113" i="2"/>
  <c r="R105" i="2"/>
  <c r="T105" i="2"/>
  <c r="R93" i="2"/>
  <c r="T93" i="2"/>
  <c r="R85" i="2"/>
  <c r="T85" i="2"/>
  <c r="R77" i="2"/>
  <c r="T77" i="2"/>
  <c r="R69" i="2"/>
  <c r="T69" i="2"/>
  <c r="R61" i="2"/>
  <c r="T61" i="2"/>
  <c r="R53" i="2"/>
  <c r="T53" i="2"/>
  <c r="R41" i="2"/>
  <c r="T41" i="2"/>
  <c r="R33" i="2"/>
  <c r="T33" i="2"/>
  <c r="R25" i="2"/>
  <c r="T25" i="2"/>
  <c r="R17" i="2"/>
  <c r="T17" i="2"/>
  <c r="R9" i="2"/>
  <c r="T9" i="2"/>
  <c r="R419" i="2"/>
  <c r="T419" i="2"/>
  <c r="R415" i="2"/>
  <c r="T415" i="2"/>
  <c r="R411" i="2"/>
  <c r="T411" i="2"/>
  <c r="R407" i="2"/>
  <c r="T407" i="2"/>
  <c r="R403" i="2"/>
  <c r="T403" i="2"/>
  <c r="R399" i="2"/>
  <c r="T399" i="2"/>
  <c r="R395" i="2"/>
  <c r="T395" i="2"/>
  <c r="R391" i="2"/>
  <c r="T391" i="2"/>
  <c r="R387" i="2"/>
  <c r="T387" i="2"/>
  <c r="R383" i="2"/>
  <c r="T383" i="2"/>
  <c r="R379" i="2"/>
  <c r="T379" i="2"/>
  <c r="R375" i="2"/>
  <c r="T375" i="2"/>
  <c r="R371" i="2"/>
  <c r="T371" i="2"/>
  <c r="R367" i="2"/>
  <c r="T367" i="2"/>
  <c r="R363" i="2"/>
  <c r="T363" i="2"/>
  <c r="R359" i="2"/>
  <c r="T359" i="2"/>
  <c r="R355" i="2"/>
  <c r="T355" i="2"/>
  <c r="R351" i="2"/>
  <c r="T351" i="2"/>
  <c r="R347" i="2"/>
  <c r="T347" i="2"/>
  <c r="R343" i="2"/>
  <c r="T343" i="2"/>
  <c r="R339" i="2"/>
  <c r="T339" i="2"/>
  <c r="R335" i="2"/>
  <c r="T335" i="2"/>
  <c r="R331" i="2"/>
  <c r="T331" i="2"/>
  <c r="R327" i="2"/>
  <c r="T327" i="2"/>
  <c r="R323" i="2"/>
  <c r="T323" i="2"/>
  <c r="R319" i="2"/>
  <c r="T319" i="2"/>
  <c r="R315" i="2"/>
  <c r="T315" i="2"/>
  <c r="R311" i="2"/>
  <c r="T311" i="2"/>
  <c r="R307" i="2"/>
  <c r="T307" i="2"/>
  <c r="R303" i="2"/>
  <c r="T303" i="2"/>
  <c r="R299" i="2"/>
  <c r="T299" i="2"/>
  <c r="R295" i="2"/>
  <c r="T295" i="2"/>
  <c r="R291" i="2"/>
  <c r="T291" i="2"/>
  <c r="R287" i="2"/>
  <c r="T287" i="2"/>
  <c r="R283" i="2"/>
  <c r="T283" i="2"/>
  <c r="R279" i="2"/>
  <c r="T279" i="2"/>
  <c r="R275" i="2"/>
  <c r="T275" i="2"/>
  <c r="R271" i="2"/>
  <c r="T271" i="2"/>
  <c r="R267" i="2"/>
  <c r="T267" i="2"/>
  <c r="R263" i="2"/>
  <c r="T263" i="2"/>
  <c r="R259" i="2"/>
  <c r="T259" i="2"/>
  <c r="R255" i="2"/>
  <c r="T255" i="2"/>
  <c r="R251" i="2"/>
  <c r="T251" i="2"/>
  <c r="R247" i="2"/>
  <c r="T247" i="2"/>
  <c r="R243" i="2"/>
  <c r="T243" i="2"/>
  <c r="R239" i="2"/>
  <c r="T239" i="2"/>
  <c r="R235" i="2"/>
  <c r="T235" i="2"/>
  <c r="R231" i="2"/>
  <c r="T231" i="2"/>
  <c r="R227" i="2"/>
  <c r="T227" i="2"/>
  <c r="R223" i="2"/>
  <c r="T223" i="2"/>
  <c r="R219" i="2"/>
  <c r="T219" i="2"/>
  <c r="R215" i="2"/>
  <c r="T215" i="2"/>
  <c r="R211" i="2"/>
  <c r="T211" i="2"/>
  <c r="R207" i="2"/>
  <c r="T207" i="2"/>
  <c r="R203" i="2"/>
  <c r="T203" i="2"/>
  <c r="R199" i="2"/>
  <c r="T199" i="2"/>
  <c r="R195" i="2"/>
  <c r="T195" i="2"/>
  <c r="R191" i="2"/>
  <c r="T191" i="2"/>
  <c r="R187" i="2"/>
  <c r="T187" i="2"/>
  <c r="R183" i="2"/>
  <c r="T183" i="2"/>
  <c r="R179" i="2"/>
  <c r="T179" i="2"/>
  <c r="R175" i="2"/>
  <c r="T175" i="2"/>
  <c r="R171" i="2"/>
  <c r="T171" i="2"/>
  <c r="R167" i="2"/>
  <c r="T167" i="2"/>
  <c r="R163" i="2"/>
  <c r="T163" i="2"/>
  <c r="R159" i="2"/>
  <c r="T159" i="2"/>
  <c r="R155" i="2"/>
  <c r="T155" i="2"/>
  <c r="R151" i="2"/>
  <c r="T151" i="2"/>
  <c r="R147" i="2"/>
  <c r="T147" i="2"/>
  <c r="R143" i="2"/>
  <c r="T143" i="2"/>
  <c r="R139" i="2"/>
  <c r="T139" i="2"/>
  <c r="R135" i="2"/>
  <c r="T135" i="2"/>
  <c r="R131" i="2"/>
  <c r="T131" i="2"/>
  <c r="R127" i="2"/>
  <c r="T127" i="2"/>
  <c r="R123" i="2"/>
  <c r="T123" i="2"/>
  <c r="R119" i="2"/>
  <c r="T119" i="2"/>
  <c r="R115" i="2"/>
  <c r="T115" i="2"/>
  <c r="R111" i="2"/>
  <c r="T111" i="2"/>
  <c r="R107" i="2"/>
  <c r="T107" i="2"/>
  <c r="R103" i="2"/>
  <c r="T103" i="2"/>
  <c r="R99" i="2"/>
  <c r="T99" i="2"/>
  <c r="R95" i="2"/>
  <c r="T95" i="2"/>
  <c r="R91" i="2"/>
  <c r="T91" i="2"/>
  <c r="R87" i="2"/>
  <c r="T87" i="2"/>
  <c r="R83" i="2"/>
  <c r="T83" i="2"/>
  <c r="R79" i="2"/>
  <c r="T79" i="2"/>
  <c r="R75" i="2"/>
  <c r="T75" i="2"/>
  <c r="R71" i="2"/>
  <c r="T71" i="2"/>
  <c r="R67" i="2"/>
  <c r="T67" i="2"/>
  <c r="R63" i="2"/>
  <c r="T63" i="2"/>
  <c r="R59" i="2"/>
  <c r="T59" i="2"/>
  <c r="R55" i="2"/>
  <c r="T55" i="2"/>
  <c r="R51" i="2"/>
  <c r="T51" i="2"/>
  <c r="R47" i="2"/>
  <c r="T47" i="2"/>
  <c r="R43" i="2"/>
  <c r="T43" i="2"/>
  <c r="R39" i="2"/>
  <c r="T39" i="2"/>
  <c r="R35" i="2"/>
  <c r="T35" i="2"/>
  <c r="R31" i="2"/>
  <c r="T31" i="2"/>
  <c r="R27" i="2"/>
  <c r="T27" i="2"/>
  <c r="R23" i="2"/>
  <c r="T23" i="2"/>
  <c r="R19" i="2"/>
  <c r="T19" i="2"/>
  <c r="R15" i="2"/>
  <c r="T15" i="2"/>
  <c r="R11" i="2"/>
  <c r="T11" i="2"/>
  <c r="R7" i="2"/>
  <c r="T7" i="2"/>
  <c r="R3" i="2"/>
  <c r="T3" i="2"/>
</calcChain>
</file>

<file path=xl/sharedStrings.xml><?xml version="1.0" encoding="utf-8"?>
<sst xmlns="http://schemas.openxmlformats.org/spreadsheetml/2006/main" count="7778" uniqueCount="295">
  <si>
    <t>Transaction_ID</t>
  </si>
  <si>
    <t>Date</t>
  </si>
  <si>
    <t>Store_ID</t>
  </si>
  <si>
    <t>State</t>
  </si>
  <si>
    <t>Channel</t>
  </si>
  <si>
    <t>Product_Category</t>
  </si>
  <si>
    <t>Product</t>
  </si>
  <si>
    <t>Customer_ID</t>
  </si>
  <si>
    <t>Customer_Type</t>
  </si>
  <si>
    <t>Units</t>
  </si>
  <si>
    <t>Unit_Price_NGN</t>
  </si>
  <si>
    <t>Discount_Pct</t>
  </si>
  <si>
    <t>Revenue_Reported_NGN</t>
  </si>
  <si>
    <t>Cost_Per_Unit_NGN</t>
  </si>
  <si>
    <t>Return_Flag</t>
  </si>
  <si>
    <t>Sales_Rep</t>
  </si>
  <si>
    <t>AB-02</t>
  </si>
  <si>
    <t>Abuja</t>
  </si>
  <si>
    <t>WhatsApp</t>
  </si>
  <si>
    <t>Home</t>
  </si>
  <si>
    <t>Standing Fan</t>
  </si>
  <si>
    <t>C1141</t>
  </si>
  <si>
    <t>New</t>
  </si>
  <si>
    <t>No</t>
  </si>
  <si>
    <t>Chinedu</t>
  </si>
  <si>
    <t>LG-01</t>
  </si>
  <si>
    <t>Lagos</t>
  </si>
  <si>
    <t>Electronics</t>
  </si>
  <si>
    <t>Smartphone</t>
  </si>
  <si>
    <t>C1083</t>
  </si>
  <si>
    <t>Returning</t>
  </si>
  <si>
    <t>Kemi</t>
  </si>
  <si>
    <t>AB-01</t>
  </si>
  <si>
    <t>Earbuds</t>
  </si>
  <si>
    <t>C1029</t>
  </si>
  <si>
    <t>KN-01</t>
  </si>
  <si>
    <t>Kano</t>
  </si>
  <si>
    <t>Online</t>
  </si>
  <si>
    <t>Power Bank</t>
  </si>
  <si>
    <t>C1082</t>
  </si>
  <si>
    <t>Grace</t>
  </si>
  <si>
    <t>C1180</t>
  </si>
  <si>
    <t>LG-02</t>
  </si>
  <si>
    <t>In-store</t>
  </si>
  <si>
    <t>Accessories</t>
  </si>
  <si>
    <t>USB Cable</t>
  </si>
  <si>
    <t>C1161</t>
  </si>
  <si>
    <t>Bola</t>
  </si>
  <si>
    <t>C1007</t>
  </si>
  <si>
    <t>C1051</t>
  </si>
  <si>
    <t>IB-01</t>
  </si>
  <si>
    <t>Ibadan</t>
  </si>
  <si>
    <t>Blender</t>
  </si>
  <si>
    <t>C1111</t>
  </si>
  <si>
    <t>Fatima</t>
  </si>
  <si>
    <t>PH-01</t>
  </si>
  <si>
    <t>Port Harcourt</t>
  </si>
  <si>
    <t>C1153</t>
  </si>
  <si>
    <t>David</t>
  </si>
  <si>
    <t>C1059</t>
  </si>
  <si>
    <t>Phone Case</t>
  </si>
  <si>
    <t>C1028</t>
  </si>
  <si>
    <t>Electric Kettle</t>
  </si>
  <si>
    <t>C1192</t>
  </si>
  <si>
    <t>Ibrahim</t>
  </si>
  <si>
    <t>Backpack</t>
  </si>
  <si>
    <t>C1022</t>
  </si>
  <si>
    <t>C1084</t>
  </si>
  <si>
    <t>C1123</t>
  </si>
  <si>
    <t>C1134</t>
  </si>
  <si>
    <t>C1100</t>
  </si>
  <si>
    <t>C1189</t>
  </si>
  <si>
    <t>C1050</t>
  </si>
  <si>
    <t>C1184</t>
  </si>
  <si>
    <t>C1004</t>
  </si>
  <si>
    <t>C1034</t>
  </si>
  <si>
    <t>Yes</t>
  </si>
  <si>
    <t>C1164</t>
  </si>
  <si>
    <t>C1155</t>
  </si>
  <si>
    <t>C1073</t>
  </si>
  <si>
    <t>C1136</t>
  </si>
  <si>
    <t>C1173</t>
  </si>
  <si>
    <t>C1071</t>
  </si>
  <si>
    <t>C1047</t>
  </si>
  <si>
    <t>Aisha</t>
  </si>
  <si>
    <t>C1094</t>
  </si>
  <si>
    <t>C1089</t>
  </si>
  <si>
    <t>C1048</t>
  </si>
  <si>
    <t>C1056</t>
  </si>
  <si>
    <t>C1036</t>
  </si>
  <si>
    <t>C1138</t>
  </si>
  <si>
    <t>C1044</t>
  </si>
  <si>
    <t>C1063</t>
  </si>
  <si>
    <t>C1001</t>
  </si>
  <si>
    <t>C1174</t>
  </si>
  <si>
    <t>C1169</t>
  </si>
  <si>
    <t>C1081</t>
  </si>
  <si>
    <t>C1113</t>
  </si>
  <si>
    <t>C1068</t>
  </si>
  <si>
    <t>C1179</t>
  </si>
  <si>
    <t>C1135</t>
  </si>
  <si>
    <t>C1080</t>
  </si>
  <si>
    <t>C1005</t>
  </si>
  <si>
    <t>C1193</t>
  </si>
  <si>
    <t>C1030</t>
  </si>
  <si>
    <t>C1019</t>
  </si>
  <si>
    <t>C1187</t>
  </si>
  <si>
    <t>C1190</t>
  </si>
  <si>
    <t>C1069</t>
  </si>
  <si>
    <t>C1074</t>
  </si>
  <si>
    <t>C1156</t>
  </si>
  <si>
    <t>C1039</t>
  </si>
  <si>
    <t>C1045</t>
  </si>
  <si>
    <t>C1055</t>
  </si>
  <si>
    <t>C1106</t>
  </si>
  <si>
    <t>C1157</t>
  </si>
  <si>
    <t>C1000</t>
  </si>
  <si>
    <t>C1032</t>
  </si>
  <si>
    <t>C1024</t>
  </si>
  <si>
    <t>C1018</t>
  </si>
  <si>
    <t>C1058</t>
  </si>
  <si>
    <t>C1086</t>
  </si>
  <si>
    <t>C1043</t>
  </si>
  <si>
    <t>C1188</t>
  </si>
  <si>
    <t>C1104</t>
  </si>
  <si>
    <t>C1108</t>
  </si>
  <si>
    <t>C1159</t>
  </si>
  <si>
    <t>C1017</t>
  </si>
  <si>
    <t>C1143</t>
  </si>
  <si>
    <t>C1133</t>
  </si>
  <si>
    <t>C1097</t>
  </si>
  <si>
    <t>C1020</t>
  </si>
  <si>
    <t>C1177</t>
  </si>
  <si>
    <t>C1150</t>
  </si>
  <si>
    <t>C1128</t>
  </si>
  <si>
    <t>C1166</t>
  </si>
  <si>
    <t>C1031</t>
  </si>
  <si>
    <t>C1092</t>
  </si>
  <si>
    <t>C1038</t>
  </si>
  <si>
    <t>C1052</t>
  </si>
  <si>
    <t>C1014</t>
  </si>
  <si>
    <t>C1110</t>
  </si>
  <si>
    <t>C1167</t>
  </si>
  <si>
    <t>C1002</t>
  </si>
  <si>
    <t>C1170</t>
  </si>
  <si>
    <t>C1021</t>
  </si>
  <si>
    <t>C1078</t>
  </si>
  <si>
    <t>C1145</t>
  </si>
  <si>
    <t>C1091</t>
  </si>
  <si>
    <t>C1098</t>
  </si>
  <si>
    <t xml:space="preserve">Accessories </t>
  </si>
  <si>
    <t>C1194</t>
  </si>
  <si>
    <t>C1124</t>
  </si>
  <si>
    <t>C1129</t>
  </si>
  <si>
    <t>C1062</t>
  </si>
  <si>
    <t>C1046</t>
  </si>
  <si>
    <t>C1191</t>
  </si>
  <si>
    <t>C1076</t>
  </si>
  <si>
    <t>C1016</t>
  </si>
  <si>
    <t>C1003</t>
  </si>
  <si>
    <t>C1149</t>
  </si>
  <si>
    <t>C1072</t>
  </si>
  <si>
    <t>C1146</t>
  </si>
  <si>
    <t>C1088</t>
  </si>
  <si>
    <t>C1139</t>
  </si>
  <si>
    <t>C1172</t>
  </si>
  <si>
    <t>C1186</t>
  </si>
  <si>
    <t>C1117</t>
  </si>
  <si>
    <t>C1105</t>
  </si>
  <si>
    <t>C1067</t>
  </si>
  <si>
    <t>C1008</t>
  </si>
  <si>
    <t>C1096</t>
  </si>
  <si>
    <t>C1119</t>
  </si>
  <si>
    <t>C1158</t>
  </si>
  <si>
    <t>C1037</t>
  </si>
  <si>
    <t>C1013</t>
  </si>
  <si>
    <t>C1023</t>
  </si>
  <si>
    <t>C1176</t>
  </si>
  <si>
    <t>C1026</t>
  </si>
  <si>
    <t>C1102</t>
  </si>
  <si>
    <t>C1120</t>
  </si>
  <si>
    <t>C1112</t>
  </si>
  <si>
    <t>C1061</t>
  </si>
  <si>
    <t>C1165</t>
  </si>
  <si>
    <t>C1181</t>
  </si>
  <si>
    <t xml:space="preserve">Lagos </t>
  </si>
  <si>
    <t>C1147</t>
  </si>
  <si>
    <t>C1152</t>
  </si>
  <si>
    <t>C1131</t>
  </si>
  <si>
    <t>C1085</t>
  </si>
  <si>
    <t>C1144</t>
  </si>
  <si>
    <t>C1107</t>
  </si>
  <si>
    <t>C1178</t>
  </si>
  <si>
    <t>C1033</t>
  </si>
  <si>
    <t>C1126</t>
  </si>
  <si>
    <t>C1137</t>
  </si>
  <si>
    <t>C1142</t>
  </si>
  <si>
    <t>C1064</t>
  </si>
  <si>
    <t>C1054</t>
  </si>
  <si>
    <t>C1025</t>
  </si>
  <si>
    <t>C1101</t>
  </si>
  <si>
    <t>C1116</t>
  </si>
  <si>
    <t>C1140</t>
  </si>
  <si>
    <t>C1049</t>
  </si>
  <si>
    <t>C1027</t>
  </si>
  <si>
    <t>C1127</t>
  </si>
  <si>
    <t>accessories</t>
  </si>
  <si>
    <t>C1087</t>
  </si>
  <si>
    <t>C1182</t>
  </si>
  <si>
    <t>C1053</t>
  </si>
  <si>
    <t>C1041</t>
  </si>
  <si>
    <t>C1035</t>
  </si>
  <si>
    <t>C1115</t>
  </si>
  <si>
    <t>C1130</t>
  </si>
  <si>
    <t>C1114</t>
  </si>
  <si>
    <t>C1057</t>
  </si>
  <si>
    <t>C1010</t>
  </si>
  <si>
    <t>C1162</t>
  </si>
  <si>
    <t>C1090</t>
  </si>
  <si>
    <t>C1099</t>
  </si>
  <si>
    <t>C1093</t>
  </si>
  <si>
    <t>Accessory</t>
  </si>
  <si>
    <t>LAGOS</t>
  </si>
  <si>
    <t>C1070</t>
  </si>
  <si>
    <t>C1079</t>
  </si>
  <si>
    <t>C1154</t>
  </si>
  <si>
    <t>C1171</t>
  </si>
  <si>
    <t>C1066</t>
  </si>
  <si>
    <t>C1077</t>
  </si>
  <si>
    <t>C1185</t>
  </si>
  <si>
    <t>C1151</t>
  </si>
  <si>
    <t>C1132</t>
  </si>
  <si>
    <t>C1015</t>
  </si>
  <si>
    <t>C1160</t>
  </si>
  <si>
    <t>C1042</t>
  </si>
  <si>
    <t>C1175</t>
  </si>
  <si>
    <t>C1065</t>
  </si>
  <si>
    <t>C1012</t>
  </si>
  <si>
    <t>C1006</t>
  </si>
  <si>
    <t>Issue</t>
  </si>
  <si>
    <t>Evidence/Observation</t>
  </si>
  <si>
    <t>Impact</t>
  </si>
  <si>
    <t>Action Taken</t>
  </si>
  <si>
    <t>Reason</t>
  </si>
  <si>
    <t>Duplicate transaction records</t>
  </si>
  <si>
    <t>12 Transaction IDs appear twice, with identical transaction details across all fields.</t>
  </si>
  <si>
    <t>Duplicates can inflate transaction counts, revenue, cost and profit calculations.</t>
  </si>
  <si>
    <t>Each duplicated pair contains identical transaction information, indicating duplicate  records rather than separate transactions.</t>
  </si>
  <si>
    <t>Removed one copy of each duplicated transaction record after validation.</t>
  </si>
  <si>
    <t>Missing Values in Cost_Per_Unit_NGN</t>
  </si>
  <si>
    <t>31 transactions initially had blank Cost_Per_Unit_NGN values.</t>
  </si>
  <si>
    <t>Missing cost values could affect total cost and profit calculations.</t>
  </si>
  <si>
    <t>Filled all 31 missing cost values using verified product-level unit costs from existing transaction records.</t>
  </si>
  <si>
    <t>Each affected product had a consistent Cost_Per_Unit_NGN value in the existing dataset, allowing the missing values to be recovered without estimation.</t>
  </si>
  <si>
    <t>Inconsistent product category labels</t>
  </si>
  <si>
    <t>Product_Category contains both "Accessories" and "Accessory", representing the same category with different labels.</t>
  </si>
  <si>
    <t>Can split the same category into separate groups and distort Pivot Tables, charts and category-level analysis.</t>
  </si>
  <si>
    <t>Standardize "Accessory" to "Accessories".</t>
  </si>
  <si>
    <t>Both labels refers to the same product category; using one consistent label improves data consistency and reporting accuracy.</t>
  </si>
  <si>
    <t>Revenue _Calculated</t>
  </si>
  <si>
    <t>Revenue_Variance_NGN</t>
  </si>
  <si>
    <t>Revenue_Reported_NGN discrepancies</t>
  </si>
  <si>
    <t>Revenue_Reported_NGN was compared against Revenue_Calculated using Units x Unit Price x (1 - Discount). Non-zero variances were identified across the dataset.</t>
  </si>
  <si>
    <t>Incorrect reported revenue can distort total revenue, profit calculations, KPIs and management decisions.</t>
  </si>
  <si>
    <t>Calculated Revenue_Calculated and Revenue_Variance_NGN for all 420 transactions and identified transactions with non-zero variances for investigation.</t>
  </si>
  <si>
    <t>Revenue should reconcile to the underlying transaction inputs of Units, Unit Price and Discount.</t>
  </si>
  <si>
    <t>Total_Cost_NGN</t>
  </si>
  <si>
    <t>Profit_Calculated_NGN</t>
  </si>
  <si>
    <t>Row Labels</t>
  </si>
  <si>
    <t>Grand Total</t>
  </si>
  <si>
    <t>Sum of Profit_Calculated_NGN</t>
  </si>
  <si>
    <t>State_Lenghth</t>
  </si>
  <si>
    <t>Lagos_Length_Check</t>
  </si>
  <si>
    <t>Inconsistent/extra characters in State values</t>
  </si>
  <si>
    <t>3 Lagos records initially had a character-length of 6 instead of the expected 5.</t>
  </si>
  <si>
    <t>Could create inconsistent state grouping and affect state-level analysis.</t>
  </si>
  <si>
    <t>Corrected the 3 affected Lagos values to the standardized Lagos.</t>
  </si>
  <si>
    <t>The affected values represented Lagos but contained an extra character.</t>
  </si>
  <si>
    <t>Product_Category_Lenght_Check</t>
  </si>
  <si>
    <t>Accessories_Length_Check</t>
  </si>
  <si>
    <t>Average of Profit_Calculated_NGN</t>
  </si>
  <si>
    <t>Count of Return_Flag</t>
  </si>
  <si>
    <t>Column Labels</t>
  </si>
  <si>
    <t>Total Average of Profit_Calculated_NGN</t>
  </si>
  <si>
    <t>Total Count of Return_Flag</t>
  </si>
  <si>
    <t>Return Rate %</t>
  </si>
  <si>
    <t>Jan</t>
  </si>
  <si>
    <t>Feb</t>
  </si>
  <si>
    <t>Mar</t>
  </si>
  <si>
    <t>Apr</t>
  </si>
  <si>
    <t>May</t>
  </si>
  <si>
    <t>Jun</t>
  </si>
  <si>
    <t>Jul</t>
  </si>
  <si>
    <t>Aug</t>
  </si>
  <si>
    <t>Sum of Revenue _Calculated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</si>
</sst>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8" fillId="0" borderId="10" xfId="0" applyFont="1" applyBorder="1" applyAlignment="1">
      <alignment wrapText="1"/>
    </xf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42" applyNumberFormat="1" applyFont="1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9.557674999996" createdVersion="8" refreshedVersion="8" minRefreshableVersion="3" recordCount="420" xr:uid="{32E71B47-4834-4EC4-83DF-9DCFFA50B3BE}">
  <cacheSource type="worksheet">
    <worksheetSource ref="A1:T421" sheet="Cleaned_Data"/>
  </cacheSource>
  <cacheFields count="20">
    <cacheField name="Transaction_ID" numFmtId="0">
      <sharedItems containsSemiMixedTypes="0" containsString="0" containsNumber="1" containsInteger="1" minValue="100001" maxValue="100420"/>
    </cacheField>
    <cacheField name="Date" numFmtId="14">
      <sharedItems containsSemiMixedTypes="0" containsNonDate="0" containsDate="1" containsString="0" minDate="2026-01-01T00:00:00" maxDate="2026-08-27T00:00:00"/>
    </cacheField>
    <cacheField name="Store_ID" numFmtId="0">
      <sharedItems/>
    </cacheField>
    <cacheField name="State" numFmtId="0">
      <sharedItems count="6">
        <s v="Abuja"/>
        <s v="Lagos"/>
        <s v="Kano"/>
        <s v="Ibadan"/>
        <s v="Port Harcourt"/>
        <s v="Lagos " u="1"/>
      </sharedItems>
    </cacheField>
    <cacheField name="Channel" numFmtId="0">
      <sharedItems/>
    </cacheField>
    <cacheField name="Product_Category" numFmtId="0">
      <sharedItems/>
    </cacheField>
    <cacheField name="Product" numFmtId="0">
      <sharedItems/>
    </cacheField>
    <cacheField name="Customer_ID" numFmtId="0">
      <sharedItems/>
    </cacheField>
    <cacheField name="Customer_Type" numFmtId="0">
      <sharedItems/>
    </cacheField>
    <cacheField name="Units" numFmtId="0">
      <sharedItems containsSemiMixedTypes="0" containsString="0" containsNumber="1" containsInteger="1" minValue="1" maxValue="25"/>
    </cacheField>
    <cacheField name="Unit_Price_NGN" numFmtId="0">
      <sharedItems containsSemiMixedTypes="0" containsString="0" containsNumber="1" containsInteger="1" minValue="6500" maxValue="165000"/>
    </cacheField>
    <cacheField name="Discount_Pct" numFmtId="0">
      <sharedItems containsSemiMixedTypes="0" containsString="0" containsNumber="1" minValue="0" maxValue="0.25"/>
    </cacheField>
    <cacheField name="Revenue_Reported_NGN" numFmtId="0">
      <sharedItems containsSemiMixedTypes="0" containsString="0" containsNumber="1" containsInteger="1" minValue="4680" maxValue="783750"/>
    </cacheField>
    <cacheField name="Cost_Per_Unit_NGN" numFmtId="0">
      <sharedItems containsSemiMixedTypes="0" containsString="0" containsNumber="1" containsInteger="1" minValue="2200" maxValue="112000"/>
    </cacheField>
    <cacheField name="Return_Flag" numFmtId="0">
      <sharedItems/>
    </cacheField>
    <cacheField name="Sales_Rep" numFmtId="0">
      <sharedItems/>
    </cacheField>
    <cacheField name="Revenue _Calculated" numFmtId="0">
      <sharedItems containsSemiMixedTypes="0" containsString="0" containsNumber="1" containsInteger="1" minValue="5525" maxValue="783750"/>
    </cacheField>
    <cacheField name="Revenue_Variance_NGN" numFmtId="0">
      <sharedItems containsSemiMixedTypes="0" containsString="0" containsNumber="1" containsInteger="1" minValue="-156750" maxValue="15120"/>
    </cacheField>
    <cacheField name="Total_Cost_NGN" numFmtId="0">
      <sharedItems containsSemiMixedTypes="0" containsString="0" containsNumber="1" containsInteger="1" minValue="2200" maxValue="560000"/>
    </cacheField>
    <cacheField name="Profit_Calculated_NGN" numFmtId="0">
      <sharedItems containsSemiMixedTypes="0" containsString="0" containsNumber="1" containsInteger="1" minValue="3000" maxValue="26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9.613057060182" createdVersion="8" refreshedVersion="8" minRefreshableVersion="3" recordCount="420" xr:uid="{5ED492E8-47D5-42FC-83E3-BB99516E8194}">
  <cacheSource type="worksheet">
    <worksheetSource ref="A1:V421" sheet="Cleaned_Data"/>
  </cacheSource>
  <cacheFields count="22">
    <cacheField name="Transaction_ID" numFmtId="0">
      <sharedItems containsSemiMixedTypes="0" containsString="0" containsNumber="1" containsInteger="1" minValue="100001" maxValue="100420"/>
    </cacheField>
    <cacheField name="Date" numFmtId="14">
      <sharedItems containsSemiMixedTypes="0" containsNonDate="0" containsDate="1" containsString="0" minDate="2026-01-01T00:00:00" maxDate="2026-08-27T00:00:00"/>
    </cacheField>
    <cacheField name="Store_ID" numFmtId="0">
      <sharedItems/>
    </cacheField>
    <cacheField name="State" numFmtId="0">
      <sharedItems/>
    </cacheField>
    <cacheField name="Channel" numFmtId="0">
      <sharedItems/>
    </cacheField>
    <cacheField name="Product_Category" numFmtId="0">
      <sharedItems count="4">
        <s v="Home"/>
        <s v="Electronics"/>
        <s v="Accessories"/>
        <s v="Accessories " u="1"/>
      </sharedItems>
    </cacheField>
    <cacheField name="Product" numFmtId="0">
      <sharedItems/>
    </cacheField>
    <cacheField name="Customer_ID" numFmtId="0">
      <sharedItems/>
    </cacheField>
    <cacheField name="Customer_Type" numFmtId="0">
      <sharedItems/>
    </cacheField>
    <cacheField name="Units" numFmtId="0">
      <sharedItems containsSemiMixedTypes="0" containsString="0" containsNumber="1" containsInteger="1" minValue="1" maxValue="25"/>
    </cacheField>
    <cacheField name="Unit_Price_NGN" numFmtId="0">
      <sharedItems containsSemiMixedTypes="0" containsString="0" containsNumber="1" containsInteger="1" minValue="6500" maxValue="165000"/>
    </cacheField>
    <cacheField name="Discount_Pct" numFmtId="0">
      <sharedItems containsSemiMixedTypes="0" containsString="0" containsNumber="1" minValue="0" maxValue="0.25"/>
    </cacheField>
    <cacheField name="Revenue_Reported_NGN" numFmtId="0">
      <sharedItems containsSemiMixedTypes="0" containsString="0" containsNumber="1" containsInteger="1" minValue="4680" maxValue="783750"/>
    </cacheField>
    <cacheField name="Cost_Per_Unit_NGN" numFmtId="0">
      <sharedItems containsSemiMixedTypes="0" containsString="0" containsNumber="1" containsInteger="1" minValue="2200" maxValue="112000"/>
    </cacheField>
    <cacheField name="Return_Flag" numFmtId="0">
      <sharedItems/>
    </cacheField>
    <cacheField name="Sales_Rep" numFmtId="0">
      <sharedItems/>
    </cacheField>
    <cacheField name="Revenue _Calculated" numFmtId="0">
      <sharedItems containsSemiMixedTypes="0" containsString="0" containsNumber="1" containsInteger="1" minValue="5525" maxValue="783750"/>
    </cacheField>
    <cacheField name="Revenue_Variance_NGN" numFmtId="0">
      <sharedItems containsSemiMixedTypes="0" containsString="0" containsNumber="1" containsInteger="1" minValue="-156750" maxValue="15120"/>
    </cacheField>
    <cacheField name="Total_Cost_NGN" numFmtId="0">
      <sharedItems containsSemiMixedTypes="0" containsString="0" containsNumber="1" containsInteger="1" minValue="2200" maxValue="560000"/>
    </cacheField>
    <cacheField name="Profit_Calculated_NGN" numFmtId="0">
      <sharedItems containsSemiMixedTypes="0" containsString="0" containsNumber="1" containsInteger="1" minValue="3000" maxValue="265000"/>
    </cacheField>
    <cacheField name="State_Lenghth" numFmtId="0">
      <sharedItems containsSemiMixedTypes="0" containsString="0" containsNumber="1" containsInteger="1" minValue="4" maxValue="13"/>
    </cacheField>
    <cacheField name="Lagos_Length_Che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9.622946643518" createdVersion="8" refreshedVersion="8" minRefreshableVersion="3" recordCount="420" xr:uid="{79BC41CA-1066-46A2-BF17-E4F3FB741298}">
  <cacheSource type="worksheet">
    <worksheetSource ref="A1:X421" sheet="Cleaned_Data"/>
  </cacheSource>
  <cacheFields count="26">
    <cacheField name="Transaction_ID" numFmtId="0">
      <sharedItems containsSemiMixedTypes="0" containsString="0" containsNumber="1" containsInteger="1" minValue="100001" maxValue="100420"/>
    </cacheField>
    <cacheField name="Date" numFmtId="14">
      <sharedItems containsSemiMixedTypes="0" containsNonDate="0" containsDate="1" containsString="0" minDate="2026-01-01T00:00:00" maxDate="2026-08-27T00:00:00" count="193">
        <d v="2026-05-25T00:00:00"/>
        <d v="2026-04-17T00:00:00"/>
        <d v="2026-02-26T00:00:00"/>
        <d v="2026-06-09T00:00:00"/>
        <d v="2026-05-30T00:00:00"/>
        <d v="2026-08-04T00:00:00"/>
        <d v="2026-03-09T00:00:00"/>
        <d v="2026-07-26T00:00:00"/>
        <d v="2026-01-06T00:00:00"/>
        <d v="2026-08-14T00:00:00"/>
        <d v="2026-06-27T00:00:00"/>
        <d v="2026-04-08T00:00:00"/>
        <d v="2026-05-11T00:00:00"/>
        <d v="2026-06-22T00:00:00"/>
        <d v="2026-01-09T00:00:00"/>
        <d v="2026-07-25T00:00:00"/>
        <d v="2026-01-10T00:00:00"/>
        <d v="2026-04-29T00:00:00"/>
        <d v="2026-05-06T00:00:00"/>
        <d v="2026-04-19T00:00:00"/>
        <d v="2026-01-11T00:00:00"/>
        <d v="2026-01-30T00:00:00"/>
        <d v="2026-05-08T00:00:00"/>
        <d v="2026-01-05T00:00:00"/>
        <d v="2026-06-30T00:00:00"/>
        <d v="2026-04-30T00:00:00"/>
        <d v="2026-05-14T00:00:00"/>
        <d v="2026-03-22T00:00:00"/>
        <d v="2026-07-06T00:00:00"/>
        <d v="2026-03-28T00:00:00"/>
        <d v="2026-05-10T00:00:00"/>
        <d v="2026-05-15T00:00:00"/>
        <d v="2026-02-23T00:00:00"/>
        <d v="2026-04-12T00:00:00"/>
        <d v="2026-01-15T00:00:00"/>
        <d v="2026-04-04T00:00:00"/>
        <d v="2026-05-03T00:00:00"/>
        <d v="2026-01-13T00:00:00"/>
        <d v="2026-05-09T00:00:00"/>
        <d v="2026-06-15T00:00:00"/>
        <d v="2026-01-07T00:00:00"/>
        <d v="2026-04-20T00:00:00"/>
        <d v="2026-01-17T00:00:00"/>
        <d v="2026-02-03T00:00:00"/>
        <d v="2026-06-07T00:00:00"/>
        <d v="2026-04-28T00:00:00"/>
        <d v="2026-06-05T00:00:00"/>
        <d v="2026-06-18T00:00:00"/>
        <d v="2026-06-23T00:00:00"/>
        <d v="2026-01-24T00:00:00"/>
        <d v="2026-08-17T00:00:00"/>
        <d v="2026-05-19T00:00:00"/>
        <d v="2026-04-02T00:00:00"/>
        <d v="2026-07-21T00:00:00"/>
        <d v="2026-03-26T00:00:00"/>
        <d v="2026-07-07T00:00:00"/>
        <d v="2026-03-30T00:00:00"/>
        <d v="2026-03-11T00:00:00"/>
        <d v="2026-05-05T00:00:00"/>
        <d v="2026-03-05T00:00:00"/>
        <d v="2026-08-22T00:00:00"/>
        <d v="2026-02-11T00:00:00"/>
        <d v="2026-02-05T00:00:00"/>
        <d v="2026-08-21T00:00:00"/>
        <d v="2026-05-07T00:00:00"/>
        <d v="2026-07-23T00:00:00"/>
        <d v="2026-07-24T00:00:00"/>
        <d v="2026-02-15T00:00:00"/>
        <d v="2026-01-02T00:00:00"/>
        <d v="2026-03-04T00:00:00"/>
        <d v="2026-06-17T00:00:00"/>
        <d v="2026-04-27T00:00:00"/>
        <d v="2026-07-20T00:00:00"/>
        <d v="2026-01-27T00:00:00"/>
        <d v="2026-04-10T00:00:00"/>
        <d v="2026-02-21T00:00:00"/>
        <d v="2026-03-08T00:00:00"/>
        <d v="2026-07-10T00:00:00"/>
        <d v="2026-06-26T00:00:00"/>
        <d v="2026-06-20T00:00:00"/>
        <d v="2026-02-13T00:00:00"/>
        <d v="2026-06-04T00:00:00"/>
        <d v="2026-03-01T00:00:00"/>
        <d v="2026-05-22T00:00:00"/>
        <d v="2026-07-31T00:00:00"/>
        <d v="2026-07-13T00:00:00"/>
        <d v="2026-01-26T00:00:00"/>
        <d v="2026-02-12T00:00:00"/>
        <d v="2026-06-21T00:00:00"/>
        <d v="2026-03-31T00:00:00"/>
        <d v="2026-08-26T00:00:00"/>
        <d v="2026-06-28T00:00:00"/>
        <d v="2026-02-28T00:00:00"/>
        <d v="2026-07-18T00:00:00"/>
        <d v="2026-04-01T00:00:00"/>
        <d v="2026-04-14T00:00:00"/>
        <d v="2026-08-24T00:00:00"/>
        <d v="2026-06-29T00:00:00"/>
        <d v="2026-04-09T00:00:00"/>
        <d v="2026-02-09T00:00:00"/>
        <d v="2026-04-25T00:00:00"/>
        <d v="2026-03-19T00:00:00"/>
        <d v="2026-01-21T00:00:00"/>
        <d v="2026-06-14T00:00:00"/>
        <d v="2026-03-27T00:00:00"/>
        <d v="2026-04-15T00:00:00"/>
        <d v="2026-01-16T00:00:00"/>
        <d v="2026-02-06T00:00:00"/>
        <d v="2026-07-02T00:00:00"/>
        <d v="2026-06-25T00:00:00"/>
        <d v="2026-07-12T00:00:00"/>
        <d v="2026-06-06T00:00:00"/>
        <d v="2026-07-01T00:00:00"/>
        <d v="2026-07-27T00:00:00"/>
        <d v="2026-03-25T00:00:00"/>
        <d v="2026-05-17T00:00:00"/>
        <d v="2026-05-02T00:00:00"/>
        <d v="2026-08-18T00:00:00"/>
        <d v="2026-02-02T00:00:00"/>
        <d v="2026-05-16T00:00:00"/>
        <d v="2026-03-29T00:00:00"/>
        <d v="2026-08-03T00:00:00"/>
        <d v="2026-03-14T00:00:00"/>
        <d v="2026-03-13T00:00:00"/>
        <d v="2026-07-16T00:00:00"/>
        <d v="2026-01-22T00:00:00"/>
        <d v="2026-01-19T00:00:00"/>
        <d v="2026-01-03T00:00:00"/>
        <d v="2026-05-28T00:00:00"/>
        <d v="2026-04-24T00:00:00"/>
        <d v="2026-01-29T00:00:00"/>
        <d v="2026-03-07T00:00:00"/>
        <d v="2026-05-23T00:00:00"/>
        <d v="2026-02-25T00:00:00"/>
        <d v="2026-08-01T00:00:00"/>
        <d v="2026-02-22T00:00:00"/>
        <d v="2026-03-18T00:00:00"/>
        <d v="2026-08-10T00:00:00"/>
        <d v="2026-07-04T00:00:00"/>
        <d v="2026-08-05T00:00:00"/>
        <d v="2026-04-05T00:00:00"/>
        <d v="2026-01-01T00:00:00"/>
        <d v="2026-04-16T00:00:00"/>
        <d v="2026-08-19T00:00:00"/>
        <d v="2026-02-01T00:00:00"/>
        <d v="2026-07-09T00:00:00"/>
        <d v="2026-01-08T00:00:00"/>
        <d v="2026-03-10T00:00:00"/>
        <d v="2026-06-13T00:00:00"/>
        <d v="2026-03-03T00:00:00"/>
        <d v="2026-07-28T00:00:00"/>
        <d v="2026-07-22T00:00:00"/>
        <d v="2026-07-11T00:00:00"/>
        <d v="2026-04-11T00:00:00"/>
        <d v="2026-03-06T00:00:00"/>
        <d v="2026-02-10T00:00:00"/>
        <d v="2026-01-31T00:00:00"/>
        <d v="2026-05-01T00:00:00"/>
        <d v="2026-04-07T00:00:00"/>
        <d v="2026-06-16T00:00:00"/>
        <d v="2026-08-11T00:00:00"/>
        <d v="2026-03-16T00:00:00"/>
        <d v="2026-04-18T00:00:00"/>
        <d v="2026-04-26T00:00:00"/>
        <d v="2026-02-16T00:00:00"/>
        <d v="2026-05-12T00:00:00"/>
        <d v="2026-06-02T00:00:00"/>
        <d v="2026-02-27T00:00:00"/>
        <d v="2026-08-07T00:00:00"/>
        <d v="2026-04-06T00:00:00"/>
        <d v="2026-01-18T00:00:00"/>
        <d v="2026-03-12T00:00:00"/>
        <d v="2026-02-17T00:00:00"/>
        <d v="2026-01-04T00:00:00"/>
        <d v="2026-02-04T00:00:00"/>
        <d v="2026-06-08T00:00:00"/>
        <d v="2026-07-14T00:00:00"/>
        <d v="2026-04-22T00:00:00"/>
        <d v="2026-08-12T00:00:00"/>
        <d v="2026-03-24T00:00:00"/>
        <d v="2026-07-19T00:00:00"/>
        <d v="2026-06-12T00:00:00"/>
        <d v="2026-01-28T00:00:00"/>
        <d v="2026-04-03T00:00:00"/>
        <d v="2026-08-15T00:00:00"/>
        <d v="2026-02-20T00:00:00"/>
        <d v="2026-08-25T00:00:00"/>
        <d v="2026-08-06T00:00:00"/>
        <d v="2026-04-13T00:00:00"/>
        <d v="2026-07-15T00:00:00"/>
        <d v="2026-05-31T00:00:00"/>
        <d v="2026-05-26T00:00:00"/>
        <d v="2026-03-15T00:00:00"/>
      </sharedItems>
      <fieldGroup par="25"/>
    </cacheField>
    <cacheField name="Store_ID" numFmtId="0">
      <sharedItems/>
    </cacheField>
    <cacheField name="State" numFmtId="0">
      <sharedItems/>
    </cacheField>
    <cacheField name="Channel" numFmtId="0">
      <sharedItems count="3">
        <s v="WhatsApp"/>
        <s v="Online"/>
        <s v="In-store"/>
      </sharedItems>
    </cacheField>
    <cacheField name="Product_Category" numFmtId="0">
      <sharedItems/>
    </cacheField>
    <cacheField name="Product" numFmtId="0">
      <sharedItems/>
    </cacheField>
    <cacheField name="Customer_ID" numFmtId="0">
      <sharedItems/>
    </cacheField>
    <cacheField name="Customer_Type" numFmtId="0">
      <sharedItems/>
    </cacheField>
    <cacheField name="Units" numFmtId="0">
      <sharedItems containsSemiMixedTypes="0" containsString="0" containsNumber="1" containsInteger="1" minValue="1" maxValue="25"/>
    </cacheField>
    <cacheField name="Unit_Price_NGN" numFmtId="0">
      <sharedItems containsSemiMixedTypes="0" containsString="0" containsNumber="1" containsInteger="1" minValue="6500" maxValue="165000"/>
    </cacheField>
    <cacheField name="Discount_Pct" numFmtId="0">
      <sharedItems containsSemiMixedTypes="0" containsString="0" containsNumber="1" minValue="0" maxValue="0.25" count="6">
        <n v="0"/>
        <n v="0.05"/>
        <n v="0.2"/>
        <n v="0.1"/>
        <n v="0.15"/>
        <n v="0.25"/>
      </sharedItems>
    </cacheField>
    <cacheField name="Revenue_Reported_NGN" numFmtId="0">
      <sharedItems containsSemiMixedTypes="0" containsString="0" containsNumber="1" containsInteger="1" minValue="4680" maxValue="783750"/>
    </cacheField>
    <cacheField name="Cost_Per_Unit_NGN" numFmtId="0">
      <sharedItems containsSemiMixedTypes="0" containsString="0" containsNumber="1" containsInteger="1" minValue="2200" maxValue="112000"/>
    </cacheField>
    <cacheField name="Return_Flag" numFmtId="0">
      <sharedItems count="2">
        <s v="No"/>
        <s v="Yes"/>
      </sharedItems>
    </cacheField>
    <cacheField name="Sales_Rep" numFmtId="0">
      <sharedItems/>
    </cacheField>
    <cacheField name="Revenue _Calculated" numFmtId="0">
      <sharedItems containsSemiMixedTypes="0" containsString="0" containsNumber="1" containsInteger="1" minValue="5525" maxValue="783750"/>
    </cacheField>
    <cacheField name="Revenue_Variance_NGN" numFmtId="0">
      <sharedItems containsSemiMixedTypes="0" containsString="0" containsNumber="1" containsInteger="1" minValue="-156750" maxValue="15120"/>
    </cacheField>
    <cacheField name="Total_Cost_NGN" numFmtId="0">
      <sharedItems containsSemiMixedTypes="0" containsString="0" containsNumber="1" containsInteger="1" minValue="2200" maxValue="560000"/>
    </cacheField>
    <cacheField name="Profit_Calculated_NGN" numFmtId="0">
      <sharedItems containsSemiMixedTypes="0" containsString="0" containsNumber="1" containsInteger="1" minValue="3000" maxValue="265000"/>
    </cacheField>
    <cacheField name="State_Lenghth" numFmtId="0">
      <sharedItems containsSemiMixedTypes="0" containsString="0" containsNumber="1" containsInteger="1" minValue="4" maxValue="13"/>
    </cacheField>
    <cacheField name="Lagos_Length_Check" numFmtId="0">
      <sharedItems/>
    </cacheField>
    <cacheField name="Product_Category_Lenght_Check" numFmtId="0">
      <sharedItems containsSemiMixedTypes="0" containsString="0" containsNumber="1" containsInteger="1" minValue="4" maxValue="11"/>
    </cacheField>
    <cacheField name="Accessories_Length_Check" numFmtId="0">
      <sharedItems/>
    </cacheField>
    <cacheField name="Days (Date)" numFmtId="0" databaseField="0">
      <fieldGroup base="1">
        <rangePr groupBy="days" startDate="2026-01-01T00:00:00" endDate="2026-08-27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27/2026"/>
        </groupItems>
      </fieldGroup>
    </cacheField>
    <cacheField name="Months (Date)" numFmtId="0" databaseField="0">
      <fieldGroup base="1">
        <rangePr groupBy="months" startDate="2026-01-01T00:00:00" endDate="2026-08-27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n v="100001"/>
    <d v="2026-05-25T00:00:00"/>
    <s v="AB-02"/>
    <x v="0"/>
    <s v="WhatsApp"/>
    <s v="Home"/>
    <s v="Standing Fan"/>
    <s v="C1141"/>
    <s v="New"/>
    <n v="1"/>
    <n v="58000"/>
    <n v="0"/>
    <n v="58000"/>
    <n v="39000"/>
    <s v="No"/>
    <s v="Chinedu"/>
    <n v="58000"/>
    <n v="0"/>
    <n v="39000"/>
    <n v="19000"/>
  </r>
  <r>
    <n v="100002"/>
    <d v="2026-04-17T00:00:00"/>
    <s v="LG-01"/>
    <x v="1"/>
    <s v="WhatsApp"/>
    <s v="Electronics"/>
    <s v="Smartphone"/>
    <s v="C1083"/>
    <s v="Returning"/>
    <n v="5"/>
    <n v="165000"/>
    <n v="0.05"/>
    <n v="627000"/>
    <n v="112000"/>
    <s v="No"/>
    <s v="Kemi"/>
    <n v="783750"/>
    <n v="-156750"/>
    <n v="560000"/>
    <n v="223750"/>
  </r>
  <r>
    <n v="100003"/>
    <d v="2026-02-26T00:00:00"/>
    <s v="AB-01"/>
    <x v="0"/>
    <s v="WhatsApp"/>
    <s v="Electronics"/>
    <s v="Earbuds"/>
    <s v="C1029"/>
    <s v="Returning"/>
    <n v="3"/>
    <n v="32000"/>
    <n v="0.2"/>
    <n v="76800"/>
    <n v="19000"/>
    <s v="No"/>
    <s v="Chinedu"/>
    <n v="76800"/>
    <n v="0"/>
    <n v="57000"/>
    <n v="19800"/>
  </r>
  <r>
    <n v="100004"/>
    <d v="2026-06-09T00:00:00"/>
    <s v="KN-01"/>
    <x v="2"/>
    <s v="Online"/>
    <s v="Electronics"/>
    <s v="Power Bank"/>
    <s v="C1082"/>
    <s v="Returning"/>
    <n v="4"/>
    <n v="26000"/>
    <n v="0"/>
    <n v="104000"/>
    <n v="15000"/>
    <s v="No"/>
    <s v="Grace"/>
    <n v="104000"/>
    <n v="0"/>
    <n v="60000"/>
    <n v="44000"/>
  </r>
  <r>
    <n v="100005"/>
    <d v="2026-05-30T00:00:00"/>
    <s v="LG-01"/>
    <x v="1"/>
    <s v="Online"/>
    <s v="Electronics"/>
    <s v="Smartphone"/>
    <s v="C1180"/>
    <s v="Returning"/>
    <n v="1"/>
    <n v="165000"/>
    <n v="0.05"/>
    <n v="156750"/>
    <n v="112000"/>
    <s v="No"/>
    <s v="Chinedu"/>
    <n v="156750"/>
    <n v="0"/>
    <n v="112000"/>
    <n v="44750"/>
  </r>
  <r>
    <n v="100006"/>
    <d v="2026-08-04T00:00:00"/>
    <s v="LG-02"/>
    <x v="1"/>
    <s v="In-store"/>
    <s v="Accessories"/>
    <s v="USB Cable"/>
    <s v="C1161"/>
    <s v="Returning"/>
    <n v="3"/>
    <n v="6500"/>
    <n v="0.1"/>
    <n v="17550"/>
    <n v="2200"/>
    <s v="No"/>
    <s v="Bola"/>
    <n v="17550"/>
    <n v="0"/>
    <n v="6600"/>
    <n v="10950"/>
  </r>
  <r>
    <n v="100007"/>
    <d v="2026-03-09T00:00:00"/>
    <s v="LG-01"/>
    <x v="1"/>
    <s v="In-store"/>
    <s v="Electronics"/>
    <s v="Power Bank"/>
    <s v="C1007"/>
    <s v="New"/>
    <n v="3"/>
    <n v="26000"/>
    <n v="0.1"/>
    <n v="70200"/>
    <n v="15000"/>
    <s v="No"/>
    <s v="Chinedu"/>
    <n v="70200"/>
    <n v="0"/>
    <n v="45000"/>
    <n v="25200"/>
  </r>
  <r>
    <n v="100008"/>
    <d v="2026-07-26T00:00:00"/>
    <s v="KN-01"/>
    <x v="2"/>
    <s v="Online"/>
    <s v="Electronics"/>
    <s v="Smartphone"/>
    <s v="C1051"/>
    <s v="Returning"/>
    <n v="5"/>
    <n v="165000"/>
    <n v="0.05"/>
    <n v="783750"/>
    <n v="112000"/>
    <s v="No"/>
    <s v="Kemi"/>
    <n v="783750"/>
    <n v="0"/>
    <n v="560000"/>
    <n v="223750"/>
  </r>
  <r>
    <n v="100009"/>
    <d v="2026-01-06T00:00:00"/>
    <s v="IB-01"/>
    <x v="3"/>
    <s v="In-store"/>
    <s v="Home"/>
    <s v="Blender"/>
    <s v="C1111"/>
    <s v="Returning"/>
    <n v="3"/>
    <n v="42000"/>
    <n v="0.15"/>
    <n v="107100"/>
    <n v="28000"/>
    <s v="No"/>
    <s v="Fatima"/>
    <n v="107100"/>
    <n v="0"/>
    <n v="84000"/>
    <n v="23100"/>
  </r>
  <r>
    <n v="100010"/>
    <d v="2026-08-14T00:00:00"/>
    <s v="PH-01"/>
    <x v="4"/>
    <s v="In-store"/>
    <s v="Electronics"/>
    <s v="Smartphone"/>
    <s v="C1153"/>
    <s v="Returning"/>
    <n v="1"/>
    <n v="165000"/>
    <n v="0"/>
    <n v="165000"/>
    <n v="112000"/>
    <s v="No"/>
    <s v="David"/>
    <n v="165000"/>
    <n v="0"/>
    <n v="112000"/>
    <n v="53000"/>
  </r>
  <r>
    <n v="100011"/>
    <d v="2026-06-27T00:00:00"/>
    <s v="LG-01"/>
    <x v="1"/>
    <s v="In-store"/>
    <s v="Electronics"/>
    <s v="Earbuds"/>
    <s v="C1059"/>
    <s v="Returning"/>
    <n v="1"/>
    <n v="32000"/>
    <n v="0"/>
    <n v="32000"/>
    <n v="19000"/>
    <s v="No"/>
    <s v="David"/>
    <n v="32000"/>
    <n v="0"/>
    <n v="19000"/>
    <n v="13000"/>
  </r>
  <r>
    <n v="100012"/>
    <d v="2026-04-08T00:00:00"/>
    <s v="KN-01"/>
    <x v="2"/>
    <s v="Online"/>
    <s v="Accessories"/>
    <s v="Phone Case"/>
    <s v="C1028"/>
    <s v="New"/>
    <n v="1"/>
    <n v="9000"/>
    <n v="0"/>
    <n v="9000"/>
    <n v="3500"/>
    <s v="No"/>
    <s v="David"/>
    <n v="9000"/>
    <n v="0"/>
    <n v="3500"/>
    <n v="5500"/>
  </r>
  <r>
    <n v="100013"/>
    <d v="2026-05-11T00:00:00"/>
    <s v="IB-01"/>
    <x v="3"/>
    <s v="In-store"/>
    <s v="Home"/>
    <s v="Electric Kettle"/>
    <s v="C1192"/>
    <s v="New"/>
    <n v="2"/>
    <n v="24000"/>
    <n v="0"/>
    <n v="48000"/>
    <n v="15000"/>
    <s v="No"/>
    <s v="Ibrahim"/>
    <n v="48000"/>
    <n v="0"/>
    <n v="30000"/>
    <n v="18000"/>
  </r>
  <r>
    <n v="100014"/>
    <d v="2026-06-22T00:00:00"/>
    <s v="AB-02"/>
    <x v="0"/>
    <s v="WhatsApp"/>
    <s v="Accessories"/>
    <s v="Backpack"/>
    <s v="C1022"/>
    <s v="Returning"/>
    <n v="2"/>
    <n v="28000"/>
    <n v="0.25"/>
    <n v="42000"/>
    <n v="16000"/>
    <s v="No"/>
    <s v="Fatima"/>
    <n v="42000"/>
    <n v="0"/>
    <n v="32000"/>
    <n v="10000"/>
  </r>
  <r>
    <n v="100015"/>
    <d v="2026-01-09T00:00:00"/>
    <s v="PH-01"/>
    <x v="4"/>
    <s v="In-store"/>
    <s v="Electronics"/>
    <s v="Smartphone"/>
    <s v="C1084"/>
    <s v="New"/>
    <n v="2"/>
    <n v="165000"/>
    <n v="0"/>
    <n v="330000"/>
    <n v="112000"/>
    <s v="No"/>
    <s v="Grace"/>
    <n v="330000"/>
    <n v="0"/>
    <n v="224000"/>
    <n v="106000"/>
  </r>
  <r>
    <n v="100016"/>
    <d v="2026-07-25T00:00:00"/>
    <s v="LG-02"/>
    <x v="1"/>
    <s v="Online"/>
    <s v="Accessories"/>
    <s v="USB Cable"/>
    <s v="C1123"/>
    <s v="New"/>
    <n v="1"/>
    <n v="6500"/>
    <n v="0.1"/>
    <n v="4680"/>
    <n v="2200"/>
    <s v="No"/>
    <s v="Kemi"/>
    <n v="5850"/>
    <n v="-1170"/>
    <n v="2200"/>
    <n v="3650"/>
  </r>
  <r>
    <n v="100017"/>
    <d v="2026-01-10T00:00:00"/>
    <s v="KN-01"/>
    <x v="2"/>
    <s v="WhatsApp"/>
    <s v="Home"/>
    <s v="Blender"/>
    <s v="C1134"/>
    <s v="New"/>
    <n v="2"/>
    <n v="42000"/>
    <n v="0"/>
    <n v="84000"/>
    <n v="28000"/>
    <s v="No"/>
    <s v="Ibrahim"/>
    <n v="84000"/>
    <n v="0"/>
    <n v="56000"/>
    <n v="28000"/>
  </r>
  <r>
    <n v="100018"/>
    <d v="2026-04-29T00:00:00"/>
    <s v="PH-01"/>
    <x v="4"/>
    <s v="In-store"/>
    <s v="Accessories"/>
    <s v="USB Cable"/>
    <s v="C1100"/>
    <s v="Returning"/>
    <n v="22"/>
    <n v="6500"/>
    <n v="0.15"/>
    <n v="121550"/>
    <n v="2200"/>
    <s v="No"/>
    <s v="Kemi"/>
    <n v="121550"/>
    <n v="0"/>
    <n v="48400"/>
    <n v="73150"/>
  </r>
  <r>
    <n v="100019"/>
    <d v="2026-05-06T00:00:00"/>
    <s v="LG-01"/>
    <x v="1"/>
    <s v="In-store"/>
    <s v="Electronics"/>
    <s v="Power Bank"/>
    <s v="C1189"/>
    <s v="Returning"/>
    <n v="1"/>
    <n v="26000"/>
    <n v="0.15"/>
    <n v="22100"/>
    <n v="15000"/>
    <s v="No"/>
    <s v="Bola"/>
    <n v="22100"/>
    <n v="0"/>
    <n v="15000"/>
    <n v="7100"/>
  </r>
  <r>
    <n v="100020"/>
    <d v="2026-04-19T00:00:00"/>
    <s v="AB-02"/>
    <x v="0"/>
    <s v="In-store"/>
    <s v="Electronics"/>
    <s v="Power Bank"/>
    <s v="C1050"/>
    <s v="Returning"/>
    <n v="1"/>
    <n v="26000"/>
    <n v="0.25"/>
    <n v="19500"/>
    <n v="15000"/>
    <s v="No"/>
    <s v="Ibrahim"/>
    <n v="19500"/>
    <n v="0"/>
    <n v="15000"/>
    <n v="4500"/>
  </r>
  <r>
    <n v="100021"/>
    <d v="2026-05-06T00:00:00"/>
    <s v="AB-02"/>
    <x v="0"/>
    <s v="WhatsApp"/>
    <s v="Electronics"/>
    <s v="Power Bank"/>
    <s v="C1184"/>
    <s v="New"/>
    <n v="1"/>
    <n v="26000"/>
    <n v="0"/>
    <n v="26000"/>
    <n v="15000"/>
    <s v="No"/>
    <s v="Kemi"/>
    <n v="26000"/>
    <n v="0"/>
    <n v="15000"/>
    <n v="11000"/>
  </r>
  <r>
    <n v="100022"/>
    <d v="2026-01-11T00:00:00"/>
    <s v="IB-01"/>
    <x v="3"/>
    <s v="WhatsApp"/>
    <s v="Accessories"/>
    <s v="Backpack"/>
    <s v="C1022"/>
    <s v="New"/>
    <n v="1"/>
    <n v="28000"/>
    <n v="0.05"/>
    <n v="26600"/>
    <n v="16000"/>
    <s v="No"/>
    <s v="Bola"/>
    <n v="26600"/>
    <n v="0"/>
    <n v="16000"/>
    <n v="10600"/>
  </r>
  <r>
    <n v="100023"/>
    <d v="2026-01-30T00:00:00"/>
    <s v="AB-01"/>
    <x v="0"/>
    <s v="Online"/>
    <s v="Electronics"/>
    <s v="Earbuds"/>
    <s v="C1004"/>
    <s v="Returning"/>
    <n v="1"/>
    <n v="32000"/>
    <n v="0.15"/>
    <n v="27200"/>
    <n v="19000"/>
    <s v="No"/>
    <s v="David"/>
    <n v="27200"/>
    <n v="0"/>
    <n v="19000"/>
    <n v="8200"/>
  </r>
  <r>
    <n v="100024"/>
    <d v="2026-05-08T00:00:00"/>
    <s v="AB-01"/>
    <x v="0"/>
    <s v="In-store"/>
    <s v="Home"/>
    <s v="Standing Fan"/>
    <s v="C1034"/>
    <s v="New"/>
    <n v="2"/>
    <n v="58000"/>
    <n v="0.2"/>
    <n v="92800"/>
    <n v="39000"/>
    <s v="Yes"/>
    <s v="Grace"/>
    <n v="92800"/>
    <n v="0"/>
    <n v="78000"/>
    <n v="14800"/>
  </r>
  <r>
    <n v="100025"/>
    <d v="2026-01-05T00:00:00"/>
    <s v="KN-01"/>
    <x v="2"/>
    <s v="In-store"/>
    <s v="Home"/>
    <s v="Standing Fan"/>
    <s v="C1164"/>
    <s v="Returning"/>
    <n v="5"/>
    <n v="58000"/>
    <n v="0.05"/>
    <n v="275500"/>
    <n v="39000"/>
    <s v="No"/>
    <s v="David"/>
    <n v="275500"/>
    <n v="0"/>
    <n v="195000"/>
    <n v="80500"/>
  </r>
  <r>
    <n v="100026"/>
    <d v="2026-06-30T00:00:00"/>
    <s v="IB-01"/>
    <x v="3"/>
    <s v="In-store"/>
    <s v="Accessories"/>
    <s v="Phone Case"/>
    <s v="C1155"/>
    <s v="Returning"/>
    <n v="2"/>
    <n v="9000"/>
    <n v="0.1"/>
    <n v="16200"/>
    <n v="3500"/>
    <s v="No"/>
    <s v="Chinedu"/>
    <n v="16200"/>
    <n v="0"/>
    <n v="7000"/>
    <n v="9200"/>
  </r>
  <r>
    <n v="100027"/>
    <d v="2026-04-30T00:00:00"/>
    <s v="KN-01"/>
    <x v="2"/>
    <s v="WhatsApp"/>
    <s v="Home"/>
    <s v="Standing Fan"/>
    <s v="C1073"/>
    <s v="New"/>
    <n v="4"/>
    <n v="58000"/>
    <n v="0.05"/>
    <n v="220400"/>
    <n v="39000"/>
    <s v="No"/>
    <s v="David"/>
    <n v="220400"/>
    <n v="0"/>
    <n v="156000"/>
    <n v="64400"/>
  </r>
  <r>
    <n v="100028"/>
    <d v="2026-05-14T00:00:00"/>
    <s v="AB-01"/>
    <x v="0"/>
    <s v="Online"/>
    <s v="Electronics"/>
    <s v="Power Bank"/>
    <s v="C1136"/>
    <s v="Returning"/>
    <n v="22"/>
    <n v="26000"/>
    <n v="0.25"/>
    <n v="429000"/>
    <n v="15000"/>
    <s v="No"/>
    <s v="Bola"/>
    <n v="429000"/>
    <n v="0"/>
    <n v="330000"/>
    <n v="99000"/>
  </r>
  <r>
    <n v="100029"/>
    <d v="2026-03-22T00:00:00"/>
    <s v="AB-01"/>
    <x v="0"/>
    <s v="In-store"/>
    <s v="Home"/>
    <s v="Standing Fan"/>
    <s v="C1173"/>
    <s v="Returning"/>
    <n v="5"/>
    <n v="58000"/>
    <n v="0.1"/>
    <n v="261000"/>
    <n v="39000"/>
    <s v="No"/>
    <s v="Chinedu"/>
    <n v="261000"/>
    <n v="0"/>
    <n v="195000"/>
    <n v="66000"/>
  </r>
  <r>
    <n v="100030"/>
    <d v="2026-07-06T00:00:00"/>
    <s v="KN-01"/>
    <x v="2"/>
    <s v="Online"/>
    <s v="Electronics"/>
    <s v="Power Bank"/>
    <s v="C1071"/>
    <s v="New"/>
    <n v="1"/>
    <n v="26000"/>
    <n v="0.05"/>
    <n v="24700"/>
    <n v="15000"/>
    <s v="No"/>
    <s v="David"/>
    <n v="24700"/>
    <n v="0"/>
    <n v="15000"/>
    <n v="9700"/>
  </r>
  <r>
    <n v="100031"/>
    <d v="2026-06-09T00:00:00"/>
    <s v="AB-01"/>
    <x v="0"/>
    <s v="In-store"/>
    <s v="Home"/>
    <s v="Standing Fan"/>
    <s v="C1047"/>
    <s v="New"/>
    <n v="2"/>
    <n v="58000"/>
    <n v="0.15"/>
    <n v="98600"/>
    <n v="39000"/>
    <s v="No"/>
    <s v="Aisha"/>
    <n v="98600"/>
    <n v="0"/>
    <n v="78000"/>
    <n v="20600"/>
  </r>
  <r>
    <n v="100032"/>
    <d v="2026-03-28T00:00:00"/>
    <s v="PH-01"/>
    <x v="4"/>
    <s v="Online"/>
    <s v="Home"/>
    <s v="Electric Kettle"/>
    <s v="C1051"/>
    <s v="New"/>
    <n v="1"/>
    <n v="24000"/>
    <n v="0.05"/>
    <n v="22800"/>
    <n v="15000"/>
    <s v="No"/>
    <s v="Kemi"/>
    <n v="22800"/>
    <n v="0"/>
    <n v="15000"/>
    <n v="7800"/>
  </r>
  <r>
    <n v="100033"/>
    <d v="2026-05-10T00:00:00"/>
    <s v="LG-01"/>
    <x v="1"/>
    <s v="In-store"/>
    <s v="Home"/>
    <s v="Standing Fan"/>
    <s v="C1094"/>
    <s v="New"/>
    <n v="3"/>
    <n v="58000"/>
    <n v="0"/>
    <n v="174000"/>
    <n v="39000"/>
    <s v="No"/>
    <s v="Aisha"/>
    <n v="174000"/>
    <n v="0"/>
    <n v="117000"/>
    <n v="57000"/>
  </r>
  <r>
    <n v="100034"/>
    <d v="2026-05-15T00:00:00"/>
    <s v="PH-01"/>
    <x v="4"/>
    <s v="In-store"/>
    <s v="Home"/>
    <s v="Standing Fan"/>
    <s v="C1089"/>
    <s v="Returning"/>
    <n v="1"/>
    <n v="58000"/>
    <n v="0.15"/>
    <n v="49300"/>
    <n v="39000"/>
    <s v="No"/>
    <s v="Bola"/>
    <n v="49300"/>
    <n v="0"/>
    <n v="39000"/>
    <n v="10300"/>
  </r>
  <r>
    <n v="100035"/>
    <d v="2026-02-23T00:00:00"/>
    <s v="KN-01"/>
    <x v="2"/>
    <s v="In-store"/>
    <s v="Accessories"/>
    <s v="Backpack"/>
    <s v="C1048"/>
    <s v="Returning"/>
    <n v="25"/>
    <n v="28000"/>
    <n v="0.05"/>
    <n v="665000"/>
    <n v="16000"/>
    <s v="No"/>
    <s v="Ibrahim"/>
    <n v="665000"/>
    <n v="0"/>
    <n v="400000"/>
    <n v="265000"/>
  </r>
  <r>
    <n v="100036"/>
    <d v="2026-02-23T00:00:00"/>
    <s v="KN-01"/>
    <x v="2"/>
    <s v="In-store"/>
    <s v="Electronics"/>
    <s v="Earbuds"/>
    <s v="C1056"/>
    <s v="New"/>
    <n v="2"/>
    <n v="32000"/>
    <n v="0.05"/>
    <n v="60800"/>
    <n v="19000"/>
    <s v="Yes"/>
    <s v="Bola"/>
    <n v="60800"/>
    <n v="0"/>
    <n v="38000"/>
    <n v="22800"/>
  </r>
  <r>
    <n v="100037"/>
    <d v="2026-04-12T00:00:00"/>
    <s v="AB-01"/>
    <x v="0"/>
    <s v="In-store"/>
    <s v="Accessories"/>
    <s v="Backpack"/>
    <s v="C1036"/>
    <s v="New"/>
    <n v="2"/>
    <n v="28000"/>
    <n v="0"/>
    <n v="56000"/>
    <n v="16000"/>
    <s v="No"/>
    <s v="Grace"/>
    <n v="56000"/>
    <n v="0"/>
    <n v="32000"/>
    <n v="24000"/>
  </r>
  <r>
    <n v="100038"/>
    <d v="2026-01-15T00:00:00"/>
    <s v="KN-01"/>
    <x v="2"/>
    <s v="Online"/>
    <s v="Electronics"/>
    <s v="Earbuds"/>
    <s v="C1138"/>
    <s v="Returning"/>
    <n v="2"/>
    <n v="32000"/>
    <n v="0"/>
    <n v="64000"/>
    <n v="19000"/>
    <s v="No"/>
    <s v="Aisha"/>
    <n v="64000"/>
    <n v="0"/>
    <n v="38000"/>
    <n v="26000"/>
  </r>
  <r>
    <n v="100039"/>
    <d v="2026-04-04T00:00:00"/>
    <s v="AB-02"/>
    <x v="0"/>
    <s v="Online"/>
    <s v="Accessories"/>
    <s v="USB Cable"/>
    <s v="C1044"/>
    <s v="New"/>
    <n v="3"/>
    <n v="6500"/>
    <n v="0.1"/>
    <n v="17550"/>
    <n v="2200"/>
    <s v="No"/>
    <s v="Grace"/>
    <n v="17550"/>
    <n v="0"/>
    <n v="6600"/>
    <n v="10950"/>
  </r>
  <r>
    <n v="100040"/>
    <d v="2026-05-03T00:00:00"/>
    <s v="AB-01"/>
    <x v="0"/>
    <s v="WhatsApp"/>
    <s v="Home"/>
    <s v="Standing Fan"/>
    <s v="C1063"/>
    <s v="Returning"/>
    <n v="1"/>
    <n v="58000"/>
    <n v="0.05"/>
    <n v="55100"/>
    <n v="39000"/>
    <s v="No"/>
    <s v="Kemi"/>
    <n v="55100"/>
    <n v="0"/>
    <n v="39000"/>
    <n v="16100"/>
  </r>
  <r>
    <n v="100041"/>
    <d v="2026-01-13T00:00:00"/>
    <s v="PH-01"/>
    <x v="4"/>
    <s v="WhatsApp"/>
    <s v="Electronics"/>
    <s v="Earbuds"/>
    <s v="C1001"/>
    <s v="Returning"/>
    <n v="3"/>
    <n v="32000"/>
    <n v="0.1"/>
    <n v="86400"/>
    <n v="19000"/>
    <s v="No"/>
    <s v="Bola"/>
    <n v="86400"/>
    <n v="0"/>
    <n v="57000"/>
    <n v="29400"/>
  </r>
  <r>
    <n v="100042"/>
    <d v="2026-05-09T00:00:00"/>
    <s v="IB-01"/>
    <x v="3"/>
    <s v="WhatsApp"/>
    <s v="Electronics"/>
    <s v="Smartphone"/>
    <s v="C1174"/>
    <s v="Returning"/>
    <n v="2"/>
    <n v="165000"/>
    <n v="0"/>
    <n v="330000"/>
    <n v="112000"/>
    <s v="No"/>
    <s v="Chinedu"/>
    <n v="330000"/>
    <n v="0"/>
    <n v="224000"/>
    <n v="106000"/>
  </r>
  <r>
    <n v="100043"/>
    <d v="2026-06-15T00:00:00"/>
    <s v="IB-01"/>
    <x v="3"/>
    <s v="In-store"/>
    <s v="Home"/>
    <s v="Electric Kettle"/>
    <s v="C1169"/>
    <s v="Returning"/>
    <n v="2"/>
    <n v="24000"/>
    <n v="0.15"/>
    <n v="40800"/>
    <n v="15000"/>
    <s v="No"/>
    <s v="Bola"/>
    <n v="40800"/>
    <n v="0"/>
    <n v="30000"/>
    <n v="10800"/>
  </r>
  <r>
    <n v="100044"/>
    <d v="2026-05-25T00:00:00"/>
    <s v="AB-01"/>
    <x v="0"/>
    <s v="Online"/>
    <s v="Home"/>
    <s v="Electric Kettle"/>
    <s v="C1081"/>
    <s v="Returning"/>
    <n v="1"/>
    <n v="24000"/>
    <n v="0.2"/>
    <n v="19200"/>
    <n v="15000"/>
    <s v="No"/>
    <s v="Fatima"/>
    <n v="19200"/>
    <n v="0"/>
    <n v="15000"/>
    <n v="4200"/>
  </r>
  <r>
    <n v="100045"/>
    <d v="2026-01-07T00:00:00"/>
    <s v="LG-02"/>
    <x v="1"/>
    <s v="Online"/>
    <s v="Electronics"/>
    <s v="Earbuds"/>
    <s v="C1113"/>
    <s v="Returning"/>
    <n v="1"/>
    <n v="32000"/>
    <n v="0"/>
    <n v="32000"/>
    <n v="19000"/>
    <s v="Yes"/>
    <s v="Fatima"/>
    <n v="32000"/>
    <n v="0"/>
    <n v="19000"/>
    <n v="13000"/>
  </r>
  <r>
    <n v="100046"/>
    <d v="2026-05-03T00:00:00"/>
    <s v="KN-01"/>
    <x v="2"/>
    <s v="In-store"/>
    <s v="Home"/>
    <s v="Electric Kettle"/>
    <s v="C1068"/>
    <s v="Returning"/>
    <n v="3"/>
    <n v="24000"/>
    <n v="0.05"/>
    <n v="68400"/>
    <n v="15000"/>
    <s v="No"/>
    <s v="Fatima"/>
    <n v="68400"/>
    <n v="0"/>
    <n v="45000"/>
    <n v="23400"/>
  </r>
  <r>
    <n v="100047"/>
    <d v="2026-04-20T00:00:00"/>
    <s v="LG-01"/>
    <x v="1"/>
    <s v="In-store"/>
    <s v="Home"/>
    <s v="Standing Fan"/>
    <s v="C1179"/>
    <s v="Returning"/>
    <n v="4"/>
    <n v="58000"/>
    <n v="0"/>
    <n v="232000"/>
    <n v="39000"/>
    <s v="No"/>
    <s v="Aisha"/>
    <n v="232000"/>
    <n v="0"/>
    <n v="156000"/>
    <n v="76000"/>
  </r>
  <r>
    <n v="100048"/>
    <d v="2026-01-17T00:00:00"/>
    <s v="KN-01"/>
    <x v="2"/>
    <s v="In-store"/>
    <s v="Electronics"/>
    <s v="Power Bank"/>
    <s v="C1135"/>
    <s v="New"/>
    <n v="2"/>
    <n v="26000"/>
    <n v="0.05"/>
    <n v="49400"/>
    <n v="15000"/>
    <s v="No"/>
    <s v="Grace"/>
    <n v="49400"/>
    <n v="0"/>
    <n v="30000"/>
    <n v="19400"/>
  </r>
  <r>
    <n v="100049"/>
    <d v="2026-06-09T00:00:00"/>
    <s v="IB-01"/>
    <x v="3"/>
    <s v="In-store"/>
    <s v="Accessories"/>
    <s v="USB Cable"/>
    <s v="C1094"/>
    <s v="New"/>
    <n v="5"/>
    <n v="6500"/>
    <n v="0.05"/>
    <n v="30875"/>
    <n v="2200"/>
    <s v="No"/>
    <s v="Aisha"/>
    <n v="30875"/>
    <n v="0"/>
    <n v="11000"/>
    <n v="19875"/>
  </r>
  <r>
    <n v="100050"/>
    <d v="2026-02-03T00:00:00"/>
    <s v="KN-01"/>
    <x v="2"/>
    <s v="In-store"/>
    <s v="Accessories"/>
    <s v="Phone Case"/>
    <s v="C1080"/>
    <s v="Returning"/>
    <n v="3"/>
    <n v="9000"/>
    <n v="0"/>
    <n v="27000"/>
    <n v="3500"/>
    <s v="No"/>
    <s v="Chinedu"/>
    <n v="27000"/>
    <n v="0"/>
    <n v="10500"/>
    <n v="16500"/>
  </r>
  <r>
    <n v="100051"/>
    <d v="2026-01-13T00:00:00"/>
    <s v="AB-02"/>
    <x v="0"/>
    <s v="Online"/>
    <s v="Home"/>
    <s v="Blender"/>
    <s v="C1111"/>
    <s v="New"/>
    <n v="2"/>
    <n v="42000"/>
    <n v="0.1"/>
    <n v="75600"/>
    <n v="28000"/>
    <s v="No"/>
    <s v="Chinedu"/>
    <n v="75600"/>
    <n v="0"/>
    <n v="56000"/>
    <n v="19600"/>
  </r>
  <r>
    <n v="100052"/>
    <d v="2026-01-11T00:00:00"/>
    <s v="PH-01"/>
    <x v="4"/>
    <s v="WhatsApp"/>
    <s v="Electronics"/>
    <s v="Smartphone"/>
    <s v="C1005"/>
    <s v="Returning"/>
    <n v="4"/>
    <n v="165000"/>
    <n v="0"/>
    <n v="660000"/>
    <n v="112000"/>
    <s v="No"/>
    <s v="Chinedu"/>
    <n v="660000"/>
    <n v="0"/>
    <n v="448000"/>
    <n v="212000"/>
  </r>
  <r>
    <n v="100053"/>
    <d v="2026-06-07T00:00:00"/>
    <s v="KN-01"/>
    <x v="2"/>
    <s v="In-store"/>
    <s v="Accessories"/>
    <s v="USB Cable"/>
    <s v="C1193"/>
    <s v="Returning"/>
    <n v="4"/>
    <n v="6500"/>
    <n v="0"/>
    <n v="26000"/>
    <n v="2200"/>
    <s v="No"/>
    <s v="Ibrahim"/>
    <n v="26000"/>
    <n v="0"/>
    <n v="8800"/>
    <n v="17200"/>
  </r>
  <r>
    <n v="100054"/>
    <d v="2026-04-28T00:00:00"/>
    <s v="AB-01"/>
    <x v="0"/>
    <s v="In-store"/>
    <s v="Accessories"/>
    <s v="Phone Case"/>
    <s v="C1030"/>
    <s v="Returning"/>
    <n v="1"/>
    <n v="9000"/>
    <n v="0.1"/>
    <n v="8100"/>
    <n v="3500"/>
    <s v="No"/>
    <s v="Aisha"/>
    <n v="8100"/>
    <n v="0"/>
    <n v="3500"/>
    <n v="4600"/>
  </r>
  <r>
    <n v="100055"/>
    <d v="2026-06-05T00:00:00"/>
    <s v="KN-01"/>
    <x v="2"/>
    <s v="In-store"/>
    <s v="Electronics"/>
    <s v="Power Bank"/>
    <s v="C1019"/>
    <s v="New"/>
    <n v="2"/>
    <n v="26000"/>
    <n v="0.15"/>
    <n v="44200"/>
    <n v="15000"/>
    <s v="No"/>
    <s v="Bola"/>
    <n v="44200"/>
    <n v="0"/>
    <n v="30000"/>
    <n v="14200"/>
  </r>
  <r>
    <n v="100056"/>
    <d v="2026-06-18T00:00:00"/>
    <s v="KN-01"/>
    <x v="2"/>
    <s v="In-store"/>
    <s v="Accessories"/>
    <s v="Phone Case"/>
    <s v="C1187"/>
    <s v="New"/>
    <n v="1"/>
    <n v="9000"/>
    <n v="0.05"/>
    <n v="6840"/>
    <n v="3500"/>
    <s v="No"/>
    <s v="Bola"/>
    <n v="8550"/>
    <n v="-1710"/>
    <n v="3500"/>
    <n v="5050"/>
  </r>
  <r>
    <n v="100057"/>
    <d v="2026-06-23T00:00:00"/>
    <s v="IB-01"/>
    <x v="3"/>
    <s v="Online"/>
    <s v="Electronics"/>
    <s v="Power Bank"/>
    <s v="C1190"/>
    <s v="New"/>
    <n v="1"/>
    <n v="26000"/>
    <n v="0.15"/>
    <n v="22100"/>
    <n v="15000"/>
    <s v="No"/>
    <s v="Fatima"/>
    <n v="22100"/>
    <n v="0"/>
    <n v="15000"/>
    <n v="7100"/>
  </r>
  <r>
    <n v="100058"/>
    <d v="2026-04-28T00:00:00"/>
    <s v="KN-01"/>
    <x v="2"/>
    <s v="In-store"/>
    <s v="Accessories"/>
    <s v="Backpack"/>
    <s v="C1069"/>
    <s v="Returning"/>
    <n v="2"/>
    <n v="28000"/>
    <n v="0"/>
    <n v="56000"/>
    <n v="16000"/>
    <s v="No"/>
    <s v="Aisha"/>
    <n v="56000"/>
    <n v="0"/>
    <n v="32000"/>
    <n v="24000"/>
  </r>
  <r>
    <n v="100059"/>
    <d v="2026-01-17T00:00:00"/>
    <s v="LG-02"/>
    <x v="1"/>
    <s v="Online"/>
    <s v="Home"/>
    <s v="Blender"/>
    <s v="C1074"/>
    <s v="Returning"/>
    <n v="2"/>
    <n v="42000"/>
    <n v="0.1"/>
    <n v="75600"/>
    <n v="28000"/>
    <s v="No"/>
    <s v="Aisha"/>
    <n v="75600"/>
    <n v="0"/>
    <n v="56000"/>
    <n v="19600"/>
  </r>
  <r>
    <n v="100060"/>
    <d v="2026-01-24T00:00:00"/>
    <s v="IB-01"/>
    <x v="3"/>
    <s v="Online"/>
    <s v="Electronics"/>
    <s v="Earbuds"/>
    <s v="C1156"/>
    <s v="Returning"/>
    <n v="1"/>
    <n v="32000"/>
    <n v="0.1"/>
    <n v="28800"/>
    <n v="19000"/>
    <s v="No"/>
    <s v="Bola"/>
    <n v="28800"/>
    <n v="0"/>
    <n v="19000"/>
    <n v="9800"/>
  </r>
  <r>
    <n v="100061"/>
    <d v="2026-08-17T00:00:00"/>
    <s v="LG-02"/>
    <x v="1"/>
    <s v="In-store"/>
    <s v="Electronics"/>
    <s v="Earbuds"/>
    <s v="C1039"/>
    <s v="Returning"/>
    <n v="1"/>
    <n v="32000"/>
    <n v="0.15"/>
    <n v="27200"/>
    <n v="19000"/>
    <s v="No"/>
    <s v="Aisha"/>
    <n v="27200"/>
    <n v="0"/>
    <n v="19000"/>
    <n v="8200"/>
  </r>
  <r>
    <n v="100062"/>
    <d v="2026-05-19T00:00:00"/>
    <s v="PH-01"/>
    <x v="4"/>
    <s v="Online"/>
    <s v="Electronics"/>
    <s v="Smartphone"/>
    <s v="C1045"/>
    <s v="New"/>
    <n v="3"/>
    <n v="165000"/>
    <n v="0"/>
    <n v="495000"/>
    <n v="112000"/>
    <s v="No"/>
    <s v="Aisha"/>
    <n v="495000"/>
    <n v="0"/>
    <n v="336000"/>
    <n v="159000"/>
  </r>
  <r>
    <n v="100063"/>
    <d v="2026-04-02T00:00:00"/>
    <s v="LG-02"/>
    <x v="1"/>
    <s v="In-store"/>
    <s v="Home"/>
    <s v="Standing Fan"/>
    <s v="C1164"/>
    <s v="New"/>
    <n v="1"/>
    <n v="58000"/>
    <n v="0"/>
    <n v="58000"/>
    <n v="39000"/>
    <s v="No"/>
    <s v="Fatima"/>
    <n v="58000"/>
    <n v="0"/>
    <n v="39000"/>
    <n v="19000"/>
  </r>
  <r>
    <n v="100064"/>
    <d v="2026-07-21T00:00:00"/>
    <s v="LG-01"/>
    <x v="1"/>
    <s v="WhatsApp"/>
    <s v="Home"/>
    <s v="Electric Kettle"/>
    <s v="C1179"/>
    <s v="New"/>
    <n v="1"/>
    <n v="24000"/>
    <n v="0.05"/>
    <n v="22800"/>
    <n v="15000"/>
    <s v="No"/>
    <s v="Kemi"/>
    <n v="22800"/>
    <n v="0"/>
    <n v="15000"/>
    <n v="7800"/>
  </r>
  <r>
    <n v="100065"/>
    <d v="2026-05-30T00:00:00"/>
    <s v="PH-01"/>
    <x v="4"/>
    <s v="In-store"/>
    <s v="Electronics"/>
    <s v="Smartphone"/>
    <s v="C1055"/>
    <s v="Returning"/>
    <n v="4"/>
    <n v="165000"/>
    <n v="0.1"/>
    <n v="594000"/>
    <n v="112000"/>
    <s v="No"/>
    <s v="David"/>
    <n v="594000"/>
    <n v="0"/>
    <n v="448000"/>
    <n v="146000"/>
  </r>
  <r>
    <n v="100066"/>
    <d v="2026-03-26T00:00:00"/>
    <s v="IB-01"/>
    <x v="3"/>
    <s v="Online"/>
    <s v="Home"/>
    <s v="Blender"/>
    <s v="C1106"/>
    <s v="Returning"/>
    <n v="3"/>
    <n v="42000"/>
    <n v="0.1"/>
    <n v="113400"/>
    <n v="28000"/>
    <s v="No"/>
    <s v="Kemi"/>
    <n v="113400"/>
    <n v="0"/>
    <n v="84000"/>
    <n v="29400"/>
  </r>
  <r>
    <n v="100067"/>
    <d v="2026-07-07T00:00:00"/>
    <s v="AB-02"/>
    <x v="0"/>
    <s v="WhatsApp"/>
    <s v="Accessories"/>
    <s v="Backpack"/>
    <s v="C1157"/>
    <s v="New"/>
    <n v="3"/>
    <n v="28000"/>
    <n v="0.15"/>
    <n v="57120"/>
    <n v="16000"/>
    <s v="No"/>
    <s v="David"/>
    <n v="71400"/>
    <n v="-14280"/>
    <n v="48000"/>
    <n v="23400"/>
  </r>
  <r>
    <n v="100068"/>
    <d v="2026-03-30T00:00:00"/>
    <s v="AB-02"/>
    <x v="0"/>
    <s v="Online"/>
    <s v="Accessories"/>
    <s v="Backpack"/>
    <s v="C1000"/>
    <s v="New"/>
    <n v="4"/>
    <n v="28000"/>
    <n v="0.05"/>
    <n v="106400"/>
    <n v="16000"/>
    <s v="No"/>
    <s v="David"/>
    <n v="106400"/>
    <n v="0"/>
    <n v="64000"/>
    <n v="42400"/>
  </r>
  <r>
    <n v="100069"/>
    <d v="2026-03-11T00:00:00"/>
    <s v="PH-01"/>
    <x v="4"/>
    <s v="In-store"/>
    <s v="Electronics"/>
    <s v="Smartphone"/>
    <s v="C1032"/>
    <s v="New"/>
    <n v="3"/>
    <n v="165000"/>
    <n v="0.05"/>
    <n v="470250"/>
    <n v="112000"/>
    <s v="No"/>
    <s v="Bola"/>
    <n v="470250"/>
    <n v="0"/>
    <n v="336000"/>
    <n v="134250"/>
  </r>
  <r>
    <n v="100070"/>
    <d v="2026-05-05T00:00:00"/>
    <s v="PH-01"/>
    <x v="4"/>
    <s v="In-store"/>
    <s v="Home"/>
    <s v="Standing Fan"/>
    <s v="C1024"/>
    <s v="New"/>
    <n v="3"/>
    <n v="58000"/>
    <n v="0"/>
    <n v="174000"/>
    <n v="39000"/>
    <s v="No"/>
    <s v="Ibrahim"/>
    <n v="174000"/>
    <n v="0"/>
    <n v="117000"/>
    <n v="57000"/>
  </r>
  <r>
    <n v="100071"/>
    <d v="2026-01-06T00:00:00"/>
    <s v="LG-02"/>
    <x v="1"/>
    <s v="Online"/>
    <s v="Electronics"/>
    <s v="Power Bank"/>
    <s v="C1018"/>
    <s v="Returning"/>
    <n v="4"/>
    <n v="26000"/>
    <n v="0.1"/>
    <n v="93600"/>
    <n v="15000"/>
    <s v="No"/>
    <s v="Chinedu"/>
    <n v="93600"/>
    <n v="0"/>
    <n v="60000"/>
    <n v="33600"/>
  </r>
  <r>
    <n v="100072"/>
    <d v="2026-06-09T00:00:00"/>
    <s v="IB-01"/>
    <x v="3"/>
    <s v="In-store"/>
    <s v="Home"/>
    <s v="Standing Fan"/>
    <s v="C1058"/>
    <s v="New"/>
    <n v="3"/>
    <n v="58000"/>
    <n v="0.1"/>
    <n v="125280"/>
    <n v="39000"/>
    <s v="No"/>
    <s v="Grace"/>
    <n v="156600"/>
    <n v="-31320"/>
    <n v="117000"/>
    <n v="39600"/>
  </r>
  <r>
    <n v="100073"/>
    <d v="2026-03-05T00:00:00"/>
    <s v="AB-01"/>
    <x v="0"/>
    <s v="Online"/>
    <s v="Electronics"/>
    <s v="Power Bank"/>
    <s v="C1086"/>
    <s v="Returning"/>
    <n v="1"/>
    <n v="26000"/>
    <n v="0.1"/>
    <n v="23400"/>
    <n v="15000"/>
    <s v="Yes"/>
    <s v="Bola"/>
    <n v="23400"/>
    <n v="0"/>
    <n v="15000"/>
    <n v="8400"/>
  </r>
  <r>
    <n v="100074"/>
    <d v="2026-04-20T00:00:00"/>
    <s v="IB-01"/>
    <x v="3"/>
    <s v="In-store"/>
    <s v="Accessories"/>
    <s v="USB Cable"/>
    <s v="C1043"/>
    <s v="New"/>
    <n v="4"/>
    <n v="6500"/>
    <n v="0.05"/>
    <n v="24700"/>
    <n v="2200"/>
    <s v="No"/>
    <s v="Chinedu"/>
    <n v="24700"/>
    <n v="0"/>
    <n v="8800"/>
    <n v="15900"/>
  </r>
  <r>
    <n v="100075"/>
    <d v="2026-08-22T00:00:00"/>
    <s v="LG-01"/>
    <x v="1"/>
    <s v="In-store"/>
    <s v="Electronics"/>
    <s v="Smartphone"/>
    <s v="C1188"/>
    <s v="Returning"/>
    <n v="1"/>
    <n v="165000"/>
    <n v="0.05"/>
    <n v="156750"/>
    <n v="112000"/>
    <s v="No"/>
    <s v="Fatima"/>
    <n v="156750"/>
    <n v="0"/>
    <n v="112000"/>
    <n v="44750"/>
  </r>
  <r>
    <n v="100076"/>
    <d v="2026-02-11T00:00:00"/>
    <s v="LG-01"/>
    <x v="1"/>
    <s v="In-store"/>
    <s v="Electronics"/>
    <s v="Power Bank"/>
    <s v="C1104"/>
    <s v="New"/>
    <n v="4"/>
    <n v="26000"/>
    <n v="0"/>
    <n v="104000"/>
    <n v="15000"/>
    <s v="No"/>
    <s v="Aisha"/>
    <n v="104000"/>
    <n v="0"/>
    <n v="60000"/>
    <n v="44000"/>
  </r>
  <r>
    <n v="100077"/>
    <d v="2026-05-14T00:00:00"/>
    <s v="LG-02"/>
    <x v="1"/>
    <s v="In-store"/>
    <s v="Accessories"/>
    <s v="Phone Case"/>
    <s v="C1192"/>
    <s v="New"/>
    <n v="2"/>
    <n v="9000"/>
    <n v="0.15"/>
    <n v="15300"/>
    <n v="3500"/>
    <s v="No"/>
    <s v="Chinedu"/>
    <n v="15300"/>
    <n v="0"/>
    <n v="7000"/>
    <n v="8300"/>
  </r>
  <r>
    <n v="100078"/>
    <d v="2026-07-06T00:00:00"/>
    <s v="LG-01"/>
    <x v="1"/>
    <s v="In-store"/>
    <s v="Accessories"/>
    <s v="USB Cable"/>
    <s v="C1108"/>
    <s v="Returning"/>
    <n v="2"/>
    <n v="6500"/>
    <n v="0.1"/>
    <n v="11700"/>
    <n v="2200"/>
    <s v="No"/>
    <s v="Kemi"/>
    <n v="11700"/>
    <n v="0"/>
    <n v="4400"/>
    <n v="7300"/>
  </r>
  <r>
    <n v="100079"/>
    <d v="2026-02-05T00:00:00"/>
    <s v="LG-02"/>
    <x v="1"/>
    <s v="In-store"/>
    <s v="Home"/>
    <s v="Standing Fan"/>
    <s v="C1159"/>
    <s v="Returning"/>
    <n v="2"/>
    <n v="58000"/>
    <n v="0.1"/>
    <n v="104400"/>
    <n v="39000"/>
    <s v="No"/>
    <s v="Aisha"/>
    <n v="104400"/>
    <n v="0"/>
    <n v="78000"/>
    <n v="26400"/>
  </r>
  <r>
    <n v="100080"/>
    <d v="2026-08-21T00:00:00"/>
    <s v="IB-01"/>
    <x v="3"/>
    <s v="Online"/>
    <s v="Accessories"/>
    <s v="Backpack"/>
    <s v="C1017"/>
    <s v="Returning"/>
    <n v="2"/>
    <n v="28000"/>
    <n v="0.1"/>
    <n v="50400"/>
    <n v="16000"/>
    <s v="No"/>
    <s v="Kemi"/>
    <n v="50400"/>
    <n v="0"/>
    <n v="32000"/>
    <n v="18400"/>
  </r>
  <r>
    <n v="100081"/>
    <d v="2026-05-09T00:00:00"/>
    <s v="LG-02"/>
    <x v="1"/>
    <s v="Online"/>
    <s v="Electronics"/>
    <s v="Earbuds"/>
    <s v="C1143"/>
    <s v="New"/>
    <n v="2"/>
    <n v="32000"/>
    <n v="0"/>
    <n v="64000"/>
    <n v="19000"/>
    <s v="No"/>
    <s v="Aisha"/>
    <n v="64000"/>
    <n v="0"/>
    <n v="38000"/>
    <n v="26000"/>
  </r>
  <r>
    <n v="100082"/>
    <d v="2026-05-07T00:00:00"/>
    <s v="AB-01"/>
    <x v="0"/>
    <s v="Online"/>
    <s v="Electronics"/>
    <s v="Smartphone"/>
    <s v="C1089"/>
    <s v="New"/>
    <n v="2"/>
    <n v="165000"/>
    <n v="0.1"/>
    <n v="297000"/>
    <n v="112000"/>
    <s v="No"/>
    <s v="Fatima"/>
    <n v="297000"/>
    <n v="0"/>
    <n v="224000"/>
    <n v="73000"/>
  </r>
  <r>
    <n v="100083"/>
    <d v="2026-02-26T00:00:00"/>
    <s v="LG-02"/>
    <x v="1"/>
    <s v="In-store"/>
    <s v="Electronics"/>
    <s v="Smartphone"/>
    <s v="C1133"/>
    <s v="Returning"/>
    <n v="3"/>
    <n v="165000"/>
    <n v="0.1"/>
    <n v="445500"/>
    <n v="112000"/>
    <s v="Yes"/>
    <s v="Fatima"/>
    <n v="445500"/>
    <n v="0"/>
    <n v="336000"/>
    <n v="109500"/>
  </r>
  <r>
    <n v="100084"/>
    <d v="2026-07-23T00:00:00"/>
    <s v="AB-01"/>
    <x v="0"/>
    <s v="In-store"/>
    <s v="Electronics"/>
    <s v="Power Bank"/>
    <s v="C1097"/>
    <s v="New"/>
    <n v="4"/>
    <n v="26000"/>
    <n v="0"/>
    <n v="104000"/>
    <n v="15000"/>
    <s v="Yes"/>
    <s v="Kemi"/>
    <n v="104000"/>
    <n v="0"/>
    <n v="60000"/>
    <n v="44000"/>
  </r>
  <r>
    <n v="100085"/>
    <d v="2026-07-24T00:00:00"/>
    <s v="PH-01"/>
    <x v="4"/>
    <s v="WhatsApp"/>
    <s v="Electronics"/>
    <s v="Power Bank"/>
    <s v="C1020"/>
    <s v="Returning"/>
    <n v="3"/>
    <n v="26000"/>
    <n v="0"/>
    <n v="78000"/>
    <n v="15000"/>
    <s v="No"/>
    <s v="Aisha"/>
    <n v="78000"/>
    <n v="0"/>
    <n v="45000"/>
    <n v="33000"/>
  </r>
  <r>
    <n v="100086"/>
    <d v="2026-02-15T00:00:00"/>
    <s v="KN-01"/>
    <x v="2"/>
    <s v="Online"/>
    <s v="Electronics"/>
    <s v="Earbuds"/>
    <s v="C1177"/>
    <s v="Returning"/>
    <n v="4"/>
    <n v="32000"/>
    <n v="0.1"/>
    <n v="115200"/>
    <n v="19000"/>
    <s v="No"/>
    <s v="Fatima"/>
    <n v="115200"/>
    <n v="0"/>
    <n v="76000"/>
    <n v="39200"/>
  </r>
  <r>
    <n v="100087"/>
    <d v="2026-01-10T00:00:00"/>
    <s v="AB-01"/>
    <x v="0"/>
    <s v="WhatsApp"/>
    <s v="Accessories"/>
    <s v="Backpack"/>
    <s v="C1150"/>
    <s v="Returning"/>
    <n v="3"/>
    <n v="28000"/>
    <n v="0.15"/>
    <n v="71400"/>
    <n v="16000"/>
    <s v="No"/>
    <s v="Fatima"/>
    <n v="71400"/>
    <n v="0"/>
    <n v="48000"/>
    <n v="23400"/>
  </r>
  <r>
    <n v="100088"/>
    <d v="2026-06-18T00:00:00"/>
    <s v="KN-01"/>
    <x v="2"/>
    <s v="WhatsApp"/>
    <s v="Electronics"/>
    <s v="Earbuds"/>
    <s v="C1128"/>
    <s v="Returning"/>
    <n v="5"/>
    <n v="32000"/>
    <n v="0.05"/>
    <n v="152000"/>
    <n v="19000"/>
    <s v="Yes"/>
    <s v="Chinedu"/>
    <n v="152000"/>
    <n v="0"/>
    <n v="95000"/>
    <n v="57000"/>
  </r>
  <r>
    <n v="100089"/>
    <d v="2026-01-02T00:00:00"/>
    <s v="KN-01"/>
    <x v="2"/>
    <s v="In-store"/>
    <s v="Home"/>
    <s v="Blender"/>
    <s v="C1089"/>
    <s v="Returning"/>
    <n v="1"/>
    <n v="42000"/>
    <n v="0.05"/>
    <n v="39900"/>
    <n v="28000"/>
    <s v="No"/>
    <s v="Bola"/>
    <n v="39900"/>
    <n v="0"/>
    <n v="28000"/>
    <n v="11900"/>
  </r>
  <r>
    <n v="100090"/>
    <d v="2026-03-04T00:00:00"/>
    <s v="KN-01"/>
    <x v="2"/>
    <s v="Online"/>
    <s v="Home"/>
    <s v="Blender"/>
    <s v="C1169"/>
    <s v="Returning"/>
    <n v="4"/>
    <n v="42000"/>
    <n v="0.05"/>
    <n v="159600"/>
    <n v="28000"/>
    <s v="No"/>
    <s v="Kemi"/>
    <n v="159600"/>
    <n v="0"/>
    <n v="112000"/>
    <n v="47600"/>
  </r>
  <r>
    <n v="100091"/>
    <d v="2026-06-17T00:00:00"/>
    <s v="PH-01"/>
    <x v="4"/>
    <s v="Online"/>
    <s v="Accessories"/>
    <s v="Phone Case"/>
    <s v="C1166"/>
    <s v="New"/>
    <n v="2"/>
    <n v="9000"/>
    <n v="0.1"/>
    <n v="16200"/>
    <n v="3500"/>
    <s v="No"/>
    <s v="Grace"/>
    <n v="16200"/>
    <n v="0"/>
    <n v="7000"/>
    <n v="9200"/>
  </r>
  <r>
    <n v="100092"/>
    <d v="2026-05-11T00:00:00"/>
    <s v="PH-01"/>
    <x v="4"/>
    <s v="In-store"/>
    <s v="Home"/>
    <s v="Blender"/>
    <s v="C1108"/>
    <s v="Returning"/>
    <n v="4"/>
    <n v="42000"/>
    <n v="0.1"/>
    <n v="166320"/>
    <n v="28000"/>
    <s v="No"/>
    <s v="Bola"/>
    <n v="151200"/>
    <n v="15120"/>
    <n v="112000"/>
    <n v="39200"/>
  </r>
  <r>
    <n v="100093"/>
    <d v="2026-04-27T00:00:00"/>
    <s v="AB-01"/>
    <x v="0"/>
    <s v="In-store"/>
    <s v="Accessories"/>
    <s v="Phone Case"/>
    <s v="C1031"/>
    <s v="Returning"/>
    <n v="5"/>
    <n v="9000"/>
    <n v="0.2"/>
    <n v="36000"/>
    <n v="3500"/>
    <s v="No"/>
    <s v="Fatima"/>
    <n v="36000"/>
    <n v="0"/>
    <n v="17500"/>
    <n v="18500"/>
  </r>
  <r>
    <n v="100094"/>
    <d v="2026-07-20T00:00:00"/>
    <s v="LG-02"/>
    <x v="1"/>
    <s v="In-store"/>
    <s v="Home"/>
    <s v="Blender"/>
    <s v="C1036"/>
    <s v="Returning"/>
    <n v="4"/>
    <n v="42000"/>
    <n v="0.05"/>
    <n v="127680"/>
    <n v="28000"/>
    <s v="No"/>
    <s v="Fatima"/>
    <n v="159600"/>
    <n v="-31920"/>
    <n v="112000"/>
    <n v="47600"/>
  </r>
  <r>
    <n v="100095"/>
    <d v="2026-05-06T00:00:00"/>
    <s v="LG-01"/>
    <x v="1"/>
    <s v="Online"/>
    <s v="Accessories"/>
    <s v="Phone Case"/>
    <s v="C1092"/>
    <s v="New"/>
    <n v="1"/>
    <n v="9000"/>
    <n v="0.05"/>
    <n v="8550"/>
    <n v="3500"/>
    <s v="No"/>
    <s v="Aisha"/>
    <n v="8550"/>
    <n v="0"/>
    <n v="3500"/>
    <n v="5050"/>
  </r>
  <r>
    <n v="100096"/>
    <d v="2026-01-27T00:00:00"/>
    <s v="AB-02"/>
    <x v="0"/>
    <s v="Online"/>
    <s v="Electronics"/>
    <s v="Power Bank"/>
    <s v="C1038"/>
    <s v="Returning"/>
    <n v="3"/>
    <n v="26000"/>
    <n v="0"/>
    <n v="78000"/>
    <n v="15000"/>
    <s v="No"/>
    <s v="David"/>
    <n v="78000"/>
    <n v="0"/>
    <n v="45000"/>
    <n v="33000"/>
  </r>
  <r>
    <n v="100097"/>
    <d v="2026-04-10T00:00:00"/>
    <s v="PH-01"/>
    <x v="4"/>
    <s v="In-store"/>
    <s v="Electronics"/>
    <s v="Power Bank"/>
    <s v="C1134"/>
    <s v="Returning"/>
    <n v="4"/>
    <n v="26000"/>
    <n v="0"/>
    <n v="104000"/>
    <n v="15000"/>
    <s v="No"/>
    <s v="Bola"/>
    <n v="104000"/>
    <n v="0"/>
    <n v="60000"/>
    <n v="44000"/>
  </r>
  <r>
    <n v="100098"/>
    <d v="2026-02-21T00:00:00"/>
    <s v="LG-01"/>
    <x v="1"/>
    <s v="Online"/>
    <s v="Home"/>
    <s v="Blender"/>
    <s v="C1071"/>
    <s v="New"/>
    <n v="1"/>
    <n v="42000"/>
    <n v="0.05"/>
    <n v="39900"/>
    <n v="28000"/>
    <s v="No"/>
    <s v="Fatima"/>
    <n v="39900"/>
    <n v="0"/>
    <n v="28000"/>
    <n v="11900"/>
  </r>
  <r>
    <n v="100099"/>
    <d v="2026-03-08T00:00:00"/>
    <s v="LG-01"/>
    <x v="1"/>
    <s v="In-store"/>
    <s v="Electronics"/>
    <s v="Earbuds"/>
    <s v="C1111"/>
    <s v="New"/>
    <n v="2"/>
    <n v="32000"/>
    <n v="0"/>
    <n v="64000"/>
    <n v="19000"/>
    <s v="No"/>
    <s v="Fatima"/>
    <n v="64000"/>
    <n v="0"/>
    <n v="38000"/>
    <n v="26000"/>
  </r>
  <r>
    <n v="100100"/>
    <d v="2026-03-05T00:00:00"/>
    <s v="LG-02"/>
    <x v="1"/>
    <s v="In-store"/>
    <s v="Electronics"/>
    <s v="Earbuds"/>
    <s v="C1048"/>
    <s v="New"/>
    <n v="3"/>
    <n v="32000"/>
    <n v="0.05"/>
    <n v="91200"/>
    <n v="19000"/>
    <s v="No"/>
    <s v="Ibrahim"/>
    <n v="91200"/>
    <n v="0"/>
    <n v="57000"/>
    <n v="34200"/>
  </r>
  <r>
    <n v="100101"/>
    <d v="2026-07-10T00:00:00"/>
    <s v="AB-02"/>
    <x v="0"/>
    <s v="In-store"/>
    <s v="Accessories"/>
    <s v="Phone Case"/>
    <s v="C1052"/>
    <s v="Returning"/>
    <n v="5"/>
    <n v="9000"/>
    <n v="0.05"/>
    <n v="42750"/>
    <n v="3500"/>
    <s v="No"/>
    <s v="Chinedu"/>
    <n v="42750"/>
    <n v="0"/>
    <n v="17500"/>
    <n v="25250"/>
  </r>
  <r>
    <n v="100102"/>
    <d v="2026-06-26T00:00:00"/>
    <s v="LG-02"/>
    <x v="1"/>
    <s v="WhatsApp"/>
    <s v="Home"/>
    <s v="Electric Kettle"/>
    <s v="C1014"/>
    <s v="Returning"/>
    <n v="2"/>
    <n v="24000"/>
    <n v="0"/>
    <n v="48000"/>
    <n v="15000"/>
    <s v="No"/>
    <s v="Ibrahim"/>
    <n v="48000"/>
    <n v="0"/>
    <n v="30000"/>
    <n v="18000"/>
  </r>
  <r>
    <n v="100103"/>
    <d v="2026-06-20T00:00:00"/>
    <s v="AB-01"/>
    <x v="0"/>
    <s v="Online"/>
    <s v="Electronics"/>
    <s v="Smartphone"/>
    <s v="C1110"/>
    <s v="New"/>
    <n v="1"/>
    <n v="165000"/>
    <n v="0"/>
    <n v="165000"/>
    <n v="112000"/>
    <s v="Yes"/>
    <s v="Bola"/>
    <n v="165000"/>
    <n v="0"/>
    <n v="112000"/>
    <n v="53000"/>
  </r>
  <r>
    <n v="100104"/>
    <d v="2026-02-13T00:00:00"/>
    <s v="LG-01"/>
    <x v="1"/>
    <s v="In-store"/>
    <s v="Electronics"/>
    <s v="Smartphone"/>
    <s v="C1167"/>
    <s v="New"/>
    <n v="3"/>
    <n v="165000"/>
    <n v="0"/>
    <n v="495000"/>
    <n v="112000"/>
    <s v="No"/>
    <s v="Grace"/>
    <n v="495000"/>
    <n v="0"/>
    <n v="336000"/>
    <n v="159000"/>
  </r>
  <r>
    <n v="100105"/>
    <d v="2026-06-04T00:00:00"/>
    <s v="IB-01"/>
    <x v="3"/>
    <s v="WhatsApp"/>
    <s v="Home"/>
    <s v="Standing Fan"/>
    <s v="C1002"/>
    <s v="New"/>
    <n v="2"/>
    <n v="58000"/>
    <n v="0"/>
    <n v="116000"/>
    <n v="39000"/>
    <s v="No"/>
    <s v="David"/>
    <n v="116000"/>
    <n v="0"/>
    <n v="78000"/>
    <n v="38000"/>
  </r>
  <r>
    <n v="100106"/>
    <d v="2026-03-01T00:00:00"/>
    <s v="IB-01"/>
    <x v="3"/>
    <s v="In-store"/>
    <s v="Home"/>
    <s v="Blender"/>
    <s v="C1170"/>
    <s v="Returning"/>
    <n v="5"/>
    <n v="42000"/>
    <n v="0.05"/>
    <n v="199500"/>
    <n v="28000"/>
    <s v="No"/>
    <s v="Kemi"/>
    <n v="199500"/>
    <n v="0"/>
    <n v="140000"/>
    <n v="59500"/>
  </r>
  <r>
    <n v="100107"/>
    <d v="2026-01-27T00:00:00"/>
    <s v="PH-01"/>
    <x v="4"/>
    <s v="In-store"/>
    <s v="Home"/>
    <s v="Standing Fan"/>
    <s v="C1082"/>
    <s v="Returning"/>
    <n v="1"/>
    <n v="58000"/>
    <n v="0.1"/>
    <n v="52200"/>
    <n v="39000"/>
    <s v="No"/>
    <s v="Aisha"/>
    <n v="52200"/>
    <n v="0"/>
    <n v="39000"/>
    <n v="13200"/>
  </r>
  <r>
    <n v="100108"/>
    <d v="2026-05-22T00:00:00"/>
    <s v="AB-02"/>
    <x v="0"/>
    <s v="In-store"/>
    <s v="Accessories"/>
    <s v="USB Cable"/>
    <s v="C1021"/>
    <s v="Returning"/>
    <n v="1"/>
    <n v="6500"/>
    <n v="0.15"/>
    <n v="5525"/>
    <n v="2200"/>
    <s v="No"/>
    <s v="David"/>
    <n v="5525"/>
    <n v="0"/>
    <n v="2200"/>
    <n v="3325"/>
  </r>
  <r>
    <n v="100109"/>
    <d v="2026-07-31T00:00:00"/>
    <s v="AB-02"/>
    <x v="0"/>
    <s v="WhatsApp"/>
    <s v="Accessories"/>
    <s v="Phone Case"/>
    <s v="C1078"/>
    <s v="Returning"/>
    <n v="2"/>
    <n v="9000"/>
    <n v="0.15"/>
    <n v="15300"/>
    <n v="3500"/>
    <s v="No"/>
    <s v="Fatima"/>
    <n v="15300"/>
    <n v="0"/>
    <n v="7000"/>
    <n v="8300"/>
  </r>
  <r>
    <n v="100110"/>
    <d v="2026-07-13T00:00:00"/>
    <s v="LG-02"/>
    <x v="1"/>
    <s v="In-store"/>
    <s v="Home"/>
    <s v="Blender"/>
    <s v="C1017"/>
    <s v="New"/>
    <n v="1"/>
    <n v="42000"/>
    <n v="0"/>
    <n v="42000"/>
    <n v="28000"/>
    <s v="No"/>
    <s v="David"/>
    <n v="42000"/>
    <n v="0"/>
    <n v="28000"/>
    <n v="14000"/>
  </r>
  <r>
    <n v="100111"/>
    <d v="2026-07-31T00:00:00"/>
    <s v="LG-02"/>
    <x v="1"/>
    <s v="In-store"/>
    <s v="Accessories"/>
    <s v="Backpack"/>
    <s v="C1145"/>
    <s v="Returning"/>
    <n v="1"/>
    <n v="28000"/>
    <n v="0.05"/>
    <n v="26600"/>
    <n v="16000"/>
    <s v="No"/>
    <s v="Fatima"/>
    <n v="26600"/>
    <n v="0"/>
    <n v="16000"/>
    <n v="10600"/>
  </r>
  <r>
    <n v="100112"/>
    <d v="2026-01-26T00:00:00"/>
    <s v="KN-01"/>
    <x v="2"/>
    <s v="In-store"/>
    <s v="Electronics"/>
    <s v="Power Bank"/>
    <s v="C1091"/>
    <s v="New"/>
    <n v="2"/>
    <n v="26000"/>
    <n v="0.1"/>
    <n v="46800"/>
    <n v="15000"/>
    <s v="No"/>
    <s v="Chinedu"/>
    <n v="46800"/>
    <n v="0"/>
    <n v="30000"/>
    <n v="16800"/>
  </r>
  <r>
    <n v="100113"/>
    <d v="2026-02-12T00:00:00"/>
    <s v="AB-02"/>
    <x v="0"/>
    <s v="In-store"/>
    <s v="Home"/>
    <s v="Standing Fan"/>
    <s v="C1045"/>
    <s v="New"/>
    <n v="3"/>
    <n v="58000"/>
    <n v="0.05"/>
    <n v="165300"/>
    <n v="39000"/>
    <s v="No"/>
    <s v="Kemi"/>
    <n v="165300"/>
    <n v="0"/>
    <n v="117000"/>
    <n v="48300"/>
  </r>
  <r>
    <n v="100114"/>
    <d v="2026-06-21T00:00:00"/>
    <s v="AB-01"/>
    <x v="0"/>
    <s v="Online"/>
    <s v="Accessories"/>
    <s v="USB Cable"/>
    <s v="C1044"/>
    <s v="Returning"/>
    <n v="2"/>
    <n v="6500"/>
    <n v="0.25"/>
    <n v="9750"/>
    <n v="2200"/>
    <s v="No"/>
    <s v="Chinedu"/>
    <n v="9750"/>
    <n v="0"/>
    <n v="4400"/>
    <n v="5350"/>
  </r>
  <r>
    <n v="100115"/>
    <d v="2026-03-31T00:00:00"/>
    <s v="LG-02"/>
    <x v="1"/>
    <s v="Online"/>
    <s v="Electronics"/>
    <s v="Power Bank"/>
    <s v="C1098"/>
    <s v="New"/>
    <n v="2"/>
    <n v="26000"/>
    <n v="0.1"/>
    <n v="46800"/>
    <n v="15000"/>
    <s v="No"/>
    <s v="Aisha"/>
    <n v="46800"/>
    <n v="0"/>
    <n v="30000"/>
    <n v="16800"/>
  </r>
  <r>
    <n v="100116"/>
    <d v="2026-02-03T00:00:00"/>
    <s v="PH-01"/>
    <x v="4"/>
    <s v="In-store"/>
    <s v="Accessories "/>
    <s v="Backpack"/>
    <s v="C1190"/>
    <s v="Returning"/>
    <n v="5"/>
    <n v="28000"/>
    <n v="0"/>
    <n v="140000"/>
    <n v="16000"/>
    <s v="No"/>
    <s v="Kemi"/>
    <n v="140000"/>
    <n v="0"/>
    <n v="80000"/>
    <n v="60000"/>
  </r>
  <r>
    <n v="100117"/>
    <d v="2026-04-10T00:00:00"/>
    <s v="LG-02"/>
    <x v="1"/>
    <s v="In-store"/>
    <s v="Accessories"/>
    <s v="Phone Case"/>
    <s v="C1055"/>
    <s v="New"/>
    <n v="4"/>
    <n v="9000"/>
    <n v="0"/>
    <n v="36000"/>
    <n v="3500"/>
    <s v="No"/>
    <s v="Ibrahim"/>
    <n v="36000"/>
    <n v="0"/>
    <n v="14000"/>
    <n v="22000"/>
  </r>
  <r>
    <n v="100118"/>
    <d v="2026-08-26T00:00:00"/>
    <s v="IB-01"/>
    <x v="3"/>
    <s v="WhatsApp"/>
    <s v="Electronics"/>
    <s v="Power Bank"/>
    <s v="C1048"/>
    <s v="New"/>
    <n v="3"/>
    <n v="26000"/>
    <n v="0"/>
    <n v="78000"/>
    <n v="15000"/>
    <s v="No"/>
    <s v="David"/>
    <n v="78000"/>
    <n v="0"/>
    <n v="45000"/>
    <n v="33000"/>
  </r>
  <r>
    <n v="100119"/>
    <d v="2026-06-28T00:00:00"/>
    <s v="LG-02"/>
    <x v="1"/>
    <s v="WhatsApp"/>
    <s v="Accessories"/>
    <s v="Phone Case"/>
    <s v="C1059"/>
    <s v="Returning"/>
    <n v="4"/>
    <n v="9000"/>
    <n v="0"/>
    <n v="36000"/>
    <n v="3500"/>
    <s v="No"/>
    <s v="Fatima"/>
    <n v="36000"/>
    <n v="0"/>
    <n v="14000"/>
    <n v="22000"/>
  </r>
  <r>
    <n v="100120"/>
    <d v="2026-01-26T00:00:00"/>
    <s v="LG-01"/>
    <x v="1"/>
    <s v="In-store"/>
    <s v="Electronics"/>
    <s v="Smartphone"/>
    <s v="C1194"/>
    <s v="Returning"/>
    <n v="1"/>
    <n v="165000"/>
    <n v="0"/>
    <n v="165000"/>
    <n v="112000"/>
    <s v="Yes"/>
    <s v="David"/>
    <n v="165000"/>
    <n v="0"/>
    <n v="112000"/>
    <n v="53000"/>
  </r>
  <r>
    <n v="100121"/>
    <d v="2026-08-14T00:00:00"/>
    <s v="IB-01"/>
    <x v="3"/>
    <s v="In-store"/>
    <s v="Accessories"/>
    <s v="Phone Case"/>
    <s v="C1124"/>
    <s v="New"/>
    <n v="4"/>
    <n v="9000"/>
    <n v="0"/>
    <n v="32400"/>
    <n v="3500"/>
    <s v="No"/>
    <s v="Bola"/>
    <n v="36000"/>
    <n v="-3600"/>
    <n v="14000"/>
    <n v="22000"/>
  </r>
  <r>
    <n v="100122"/>
    <d v="2026-07-23T00:00:00"/>
    <s v="PH-01"/>
    <x v="4"/>
    <s v="In-store"/>
    <s v="Home"/>
    <s v="Electric Kettle"/>
    <s v="C1173"/>
    <s v="New"/>
    <n v="3"/>
    <n v="24000"/>
    <n v="0"/>
    <n v="72000"/>
    <n v="15000"/>
    <s v="No"/>
    <s v="Ibrahim"/>
    <n v="72000"/>
    <n v="0"/>
    <n v="45000"/>
    <n v="27000"/>
  </r>
  <r>
    <n v="100123"/>
    <d v="2026-05-30T00:00:00"/>
    <s v="AB-01"/>
    <x v="0"/>
    <s v="In-store"/>
    <s v="Electronics"/>
    <s v="Earbuds"/>
    <s v="C1020"/>
    <s v="Returning"/>
    <n v="4"/>
    <n v="32000"/>
    <n v="0.1"/>
    <n v="115200"/>
    <n v="19000"/>
    <s v="No"/>
    <s v="Fatima"/>
    <n v="115200"/>
    <n v="0"/>
    <n v="76000"/>
    <n v="39200"/>
  </r>
  <r>
    <n v="100124"/>
    <d v="2026-07-24T00:00:00"/>
    <s v="KN-01"/>
    <x v="2"/>
    <s v="Online"/>
    <s v="Electronics"/>
    <s v="Earbuds"/>
    <s v="C1080"/>
    <s v="Returning"/>
    <n v="3"/>
    <n v="32000"/>
    <n v="0.15"/>
    <n v="81600"/>
    <n v="19000"/>
    <s v="No"/>
    <s v="David"/>
    <n v="81600"/>
    <n v="0"/>
    <n v="57000"/>
    <n v="24600"/>
  </r>
  <r>
    <n v="100125"/>
    <d v="2026-02-28T00:00:00"/>
    <s v="PH-01"/>
    <x v="4"/>
    <s v="In-store"/>
    <s v="Electronics"/>
    <s v="Earbuds"/>
    <s v="C1184"/>
    <s v="Returning"/>
    <n v="3"/>
    <n v="32000"/>
    <n v="0.15"/>
    <n v="81600"/>
    <n v="19000"/>
    <s v="No"/>
    <s v="Chinedu"/>
    <n v="81600"/>
    <n v="0"/>
    <n v="57000"/>
    <n v="24600"/>
  </r>
  <r>
    <n v="100126"/>
    <d v="2026-07-18T00:00:00"/>
    <s v="AB-02"/>
    <x v="0"/>
    <s v="WhatsApp"/>
    <s v="Electronics"/>
    <s v="Smartphone"/>
    <s v="C1004"/>
    <s v="Returning"/>
    <n v="2"/>
    <n v="165000"/>
    <n v="0.25"/>
    <n v="247500"/>
    <n v="112000"/>
    <s v="No"/>
    <s v="Ibrahim"/>
    <n v="247500"/>
    <n v="0"/>
    <n v="224000"/>
    <n v="23500"/>
  </r>
  <r>
    <n v="100127"/>
    <d v="2026-01-10T00:00:00"/>
    <s v="AB-01"/>
    <x v="0"/>
    <s v="Online"/>
    <s v="Accessories"/>
    <s v="Phone Case"/>
    <s v="C1129"/>
    <s v="Returning"/>
    <n v="3"/>
    <n v="9000"/>
    <n v="0.25"/>
    <n v="20250"/>
    <n v="3500"/>
    <s v="No"/>
    <s v="Bola"/>
    <n v="20250"/>
    <n v="0"/>
    <n v="10500"/>
    <n v="9750"/>
  </r>
  <r>
    <n v="100128"/>
    <d v="2026-04-01T00:00:00"/>
    <s v="AB-01"/>
    <x v="0"/>
    <s v="WhatsApp"/>
    <s v="Electronics"/>
    <s v="Smartphone"/>
    <s v="C1124"/>
    <s v="New"/>
    <n v="2"/>
    <n v="165000"/>
    <n v="0"/>
    <n v="330000"/>
    <n v="112000"/>
    <s v="No"/>
    <s v="David"/>
    <n v="330000"/>
    <n v="0"/>
    <n v="224000"/>
    <n v="106000"/>
  </r>
  <r>
    <n v="100129"/>
    <d v="2026-04-02T00:00:00"/>
    <s v="PH-01"/>
    <x v="4"/>
    <s v="WhatsApp"/>
    <s v="Accessories"/>
    <s v="Backpack"/>
    <s v="C1062"/>
    <s v="New"/>
    <n v="2"/>
    <n v="28000"/>
    <n v="0.05"/>
    <n v="53200"/>
    <n v="16000"/>
    <s v="No"/>
    <s v="Chinedu"/>
    <n v="53200"/>
    <n v="0"/>
    <n v="32000"/>
    <n v="21200"/>
  </r>
  <r>
    <n v="100130"/>
    <d v="2026-04-14T00:00:00"/>
    <s v="LG-02"/>
    <x v="1"/>
    <s v="WhatsApp"/>
    <s v="Accessories"/>
    <s v="Phone Case"/>
    <s v="C1046"/>
    <s v="New"/>
    <n v="2"/>
    <n v="9000"/>
    <n v="0"/>
    <n v="18000"/>
    <n v="3500"/>
    <s v="No"/>
    <s v="Kemi"/>
    <n v="18000"/>
    <n v="0"/>
    <n v="7000"/>
    <n v="11000"/>
  </r>
  <r>
    <n v="100131"/>
    <d v="2026-03-09T00:00:00"/>
    <s v="LG-02"/>
    <x v="1"/>
    <s v="WhatsApp"/>
    <s v="Home"/>
    <s v="Blender"/>
    <s v="C1191"/>
    <s v="New"/>
    <n v="1"/>
    <n v="42000"/>
    <n v="0"/>
    <n v="42000"/>
    <n v="28000"/>
    <s v="No"/>
    <s v="David"/>
    <n v="42000"/>
    <n v="0"/>
    <n v="28000"/>
    <n v="14000"/>
  </r>
  <r>
    <n v="100132"/>
    <d v="2026-08-24T00:00:00"/>
    <s v="PH-01"/>
    <x v="4"/>
    <s v="In-store"/>
    <s v="Electronics"/>
    <s v="Power Bank"/>
    <s v="C1076"/>
    <s v="Returning"/>
    <n v="4"/>
    <n v="26000"/>
    <n v="0"/>
    <n v="104000"/>
    <n v="15000"/>
    <s v="No"/>
    <s v="Aisha"/>
    <n v="104000"/>
    <n v="0"/>
    <n v="60000"/>
    <n v="44000"/>
  </r>
  <r>
    <n v="100133"/>
    <d v="2026-06-29T00:00:00"/>
    <s v="KN-01"/>
    <x v="2"/>
    <s v="In-store"/>
    <s v="Home"/>
    <s v="Electric Kettle"/>
    <s v="C1153"/>
    <s v="Returning"/>
    <n v="1"/>
    <n v="24000"/>
    <n v="0"/>
    <n v="24000"/>
    <n v="15000"/>
    <s v="No"/>
    <s v="Kemi"/>
    <n v="24000"/>
    <n v="0"/>
    <n v="15000"/>
    <n v="9000"/>
  </r>
  <r>
    <n v="100134"/>
    <d v="2026-05-03T00:00:00"/>
    <s v="AB-02"/>
    <x v="0"/>
    <s v="Online"/>
    <s v="Home"/>
    <s v="Standing Fan"/>
    <s v="C1016"/>
    <s v="Returning"/>
    <n v="3"/>
    <n v="58000"/>
    <n v="0.25"/>
    <n v="130500"/>
    <n v="39000"/>
    <s v="No"/>
    <s v="Ibrahim"/>
    <n v="130500"/>
    <n v="0"/>
    <n v="117000"/>
    <n v="13500"/>
  </r>
  <r>
    <n v="100135"/>
    <d v="2026-04-09T00:00:00"/>
    <s v="KN-01"/>
    <x v="2"/>
    <s v="WhatsApp"/>
    <s v="Home"/>
    <s v="Electric Kettle"/>
    <s v="C1003"/>
    <s v="Returning"/>
    <n v="1"/>
    <n v="24000"/>
    <n v="0.15"/>
    <n v="20400"/>
    <n v="15000"/>
    <s v="No"/>
    <s v="Kemi"/>
    <n v="20400"/>
    <n v="0"/>
    <n v="15000"/>
    <n v="5400"/>
  </r>
  <r>
    <n v="100136"/>
    <d v="2026-02-09T00:00:00"/>
    <s v="KN-01"/>
    <x v="2"/>
    <s v="In-store"/>
    <s v="Electronics"/>
    <s v="Power Bank"/>
    <s v="C1149"/>
    <s v="New"/>
    <n v="2"/>
    <n v="26000"/>
    <n v="0.15"/>
    <n v="44200"/>
    <n v="15000"/>
    <s v="No"/>
    <s v="Fatima"/>
    <n v="44200"/>
    <n v="0"/>
    <n v="30000"/>
    <n v="14200"/>
  </r>
  <r>
    <n v="100137"/>
    <d v="2026-05-09T00:00:00"/>
    <s v="LG-01"/>
    <x v="1"/>
    <s v="Online"/>
    <s v="Home"/>
    <s v="Blender"/>
    <s v="C1072"/>
    <s v="Returning"/>
    <n v="2"/>
    <n v="42000"/>
    <n v="0"/>
    <n v="84000"/>
    <n v="28000"/>
    <s v="No"/>
    <s v="David"/>
    <n v="84000"/>
    <n v="0"/>
    <n v="56000"/>
    <n v="28000"/>
  </r>
  <r>
    <n v="100138"/>
    <d v="2026-04-25T00:00:00"/>
    <s v="IB-01"/>
    <x v="3"/>
    <s v="In-store"/>
    <s v="Electronics"/>
    <s v="Earbuds"/>
    <s v="C1161"/>
    <s v="Returning"/>
    <n v="4"/>
    <n v="32000"/>
    <n v="0"/>
    <n v="128000"/>
    <n v="19000"/>
    <s v="No"/>
    <s v="Fatima"/>
    <n v="128000"/>
    <n v="0"/>
    <n v="76000"/>
    <n v="52000"/>
  </r>
  <r>
    <n v="100139"/>
    <d v="2026-02-03T00:00:00"/>
    <s v="LG-01"/>
    <x v="1"/>
    <s v="In-store"/>
    <s v="Accessories"/>
    <s v="Backpack"/>
    <s v="C1146"/>
    <s v="New"/>
    <n v="3"/>
    <n v="28000"/>
    <n v="0.05"/>
    <n v="79800"/>
    <n v="16000"/>
    <s v="No"/>
    <s v="Bola"/>
    <n v="79800"/>
    <n v="0"/>
    <n v="48000"/>
    <n v="31800"/>
  </r>
  <r>
    <n v="100140"/>
    <d v="2026-03-19T00:00:00"/>
    <s v="LG-02"/>
    <x v="1"/>
    <s v="In-store"/>
    <s v="Accessories"/>
    <s v="USB Cable"/>
    <s v="C1002"/>
    <s v="Returning"/>
    <n v="2"/>
    <n v="6500"/>
    <n v="0.15"/>
    <n v="11050"/>
    <n v="2200"/>
    <s v="No"/>
    <s v="Ibrahim"/>
    <n v="11050"/>
    <n v="0"/>
    <n v="4400"/>
    <n v="6650"/>
  </r>
  <r>
    <n v="100141"/>
    <d v="2026-01-21T00:00:00"/>
    <s v="LG-02"/>
    <x v="1"/>
    <s v="In-store"/>
    <s v="Home"/>
    <s v="Blender"/>
    <s v="C1068"/>
    <s v="Returning"/>
    <n v="18"/>
    <n v="42000"/>
    <n v="0"/>
    <n v="756000"/>
    <n v="28000"/>
    <s v="No"/>
    <s v="Ibrahim"/>
    <n v="756000"/>
    <n v="0"/>
    <n v="504000"/>
    <n v="252000"/>
  </r>
  <r>
    <n v="100142"/>
    <d v="2026-04-17T00:00:00"/>
    <s v="IB-01"/>
    <x v="3"/>
    <s v="Online"/>
    <s v="Electronics"/>
    <s v="Earbuds"/>
    <s v="C1088"/>
    <s v="New"/>
    <n v="1"/>
    <n v="32000"/>
    <n v="0"/>
    <n v="32000"/>
    <n v="19000"/>
    <s v="No"/>
    <s v="Kemi"/>
    <n v="32000"/>
    <n v="0"/>
    <n v="19000"/>
    <n v="13000"/>
  </r>
  <r>
    <n v="100143"/>
    <d v="2026-06-14T00:00:00"/>
    <s v="LG-02"/>
    <x v="1"/>
    <s v="In-store"/>
    <s v="Electronics"/>
    <s v="Smartphone"/>
    <s v="C1164"/>
    <s v="Returning"/>
    <n v="2"/>
    <n v="165000"/>
    <n v="0"/>
    <n v="330000"/>
    <n v="112000"/>
    <s v="No"/>
    <s v="Ibrahim"/>
    <n v="330000"/>
    <n v="0"/>
    <n v="224000"/>
    <n v="106000"/>
  </r>
  <r>
    <n v="100144"/>
    <d v="2026-04-20T00:00:00"/>
    <s v="IB-01"/>
    <x v="3"/>
    <s v="WhatsApp"/>
    <s v="Electronics"/>
    <s v="Earbuds"/>
    <s v="C1139"/>
    <s v="New"/>
    <n v="2"/>
    <n v="32000"/>
    <n v="0.15"/>
    <n v="54400"/>
    <n v="19000"/>
    <s v="Yes"/>
    <s v="Grace"/>
    <n v="54400"/>
    <n v="0"/>
    <n v="38000"/>
    <n v="16400"/>
  </r>
  <r>
    <n v="100145"/>
    <d v="2026-04-29T00:00:00"/>
    <s v="IB-01"/>
    <x v="3"/>
    <s v="In-store"/>
    <s v="Accessories"/>
    <s v="Backpack"/>
    <s v="C1018"/>
    <s v="New"/>
    <n v="1"/>
    <n v="28000"/>
    <n v="0"/>
    <n v="28000"/>
    <n v="16000"/>
    <s v="No"/>
    <s v="Chinedu"/>
    <n v="28000"/>
    <n v="0"/>
    <n v="16000"/>
    <n v="12000"/>
  </r>
  <r>
    <n v="100146"/>
    <d v="2026-03-27T00:00:00"/>
    <s v="KN-01"/>
    <x v="2"/>
    <s v="Online"/>
    <s v="Electronics"/>
    <s v="Earbuds"/>
    <s v="C1128"/>
    <s v="Returning"/>
    <n v="1"/>
    <n v="32000"/>
    <n v="0.1"/>
    <n v="28800"/>
    <n v="19000"/>
    <s v="No"/>
    <s v="Ibrahim"/>
    <n v="28800"/>
    <n v="0"/>
    <n v="19000"/>
    <n v="9800"/>
  </r>
  <r>
    <n v="100147"/>
    <d v="2026-04-15T00:00:00"/>
    <s v="PH-01"/>
    <x v="4"/>
    <s v="In-store"/>
    <s v="Home"/>
    <s v="Blender"/>
    <s v="C1172"/>
    <s v="New"/>
    <n v="2"/>
    <n v="42000"/>
    <n v="0.05"/>
    <n v="79800"/>
    <n v="28000"/>
    <s v="No"/>
    <s v="Chinedu"/>
    <n v="79800"/>
    <n v="0"/>
    <n v="56000"/>
    <n v="23800"/>
  </r>
  <r>
    <n v="100148"/>
    <d v="2026-07-24T00:00:00"/>
    <s v="PH-01"/>
    <x v="4"/>
    <s v="Online"/>
    <s v="Home"/>
    <s v="Electric Kettle"/>
    <s v="C1069"/>
    <s v="Returning"/>
    <n v="1"/>
    <n v="24000"/>
    <n v="0.05"/>
    <n v="22800"/>
    <n v="15000"/>
    <s v="No"/>
    <s v="Chinedu"/>
    <n v="22800"/>
    <n v="0"/>
    <n v="15000"/>
    <n v="7800"/>
  </r>
  <r>
    <n v="100149"/>
    <d v="2026-01-16T00:00:00"/>
    <s v="LG-02"/>
    <x v="1"/>
    <s v="In-store"/>
    <s v="Accessories"/>
    <s v="Phone Case"/>
    <s v="C1150"/>
    <s v="Returning"/>
    <n v="4"/>
    <n v="9000"/>
    <n v="0.05"/>
    <n v="34200"/>
    <n v="3500"/>
    <s v="No"/>
    <s v="Grace"/>
    <n v="34200"/>
    <n v="0"/>
    <n v="14000"/>
    <n v="20200"/>
  </r>
  <r>
    <n v="100150"/>
    <d v="2026-01-10T00:00:00"/>
    <s v="IB-01"/>
    <x v="3"/>
    <s v="Online"/>
    <s v="Electronics"/>
    <s v="Power Bank"/>
    <s v="C1044"/>
    <s v="Returning"/>
    <n v="1"/>
    <n v="26000"/>
    <n v="0.1"/>
    <n v="23400"/>
    <n v="15000"/>
    <s v="No"/>
    <s v="Grace"/>
    <n v="23400"/>
    <n v="0"/>
    <n v="15000"/>
    <n v="8400"/>
  </r>
  <r>
    <n v="100151"/>
    <d v="2026-02-06T00:00:00"/>
    <s v="KN-01"/>
    <x v="2"/>
    <s v="Online"/>
    <s v="Electronics"/>
    <s v="Smartphone"/>
    <s v="C1186"/>
    <s v="New"/>
    <n v="1"/>
    <n v="165000"/>
    <n v="0.15"/>
    <n v="140250"/>
    <n v="112000"/>
    <s v="No"/>
    <s v="Chinedu"/>
    <n v="140250"/>
    <n v="0"/>
    <n v="112000"/>
    <n v="28250"/>
  </r>
  <r>
    <n v="100152"/>
    <d v="2026-01-30T00:00:00"/>
    <s v="LG-02"/>
    <x v="1"/>
    <s v="WhatsApp"/>
    <s v="Accessories"/>
    <s v="USB Cable"/>
    <s v="C1076"/>
    <s v="Returning"/>
    <n v="1"/>
    <n v="6500"/>
    <n v="0"/>
    <n v="6500"/>
    <n v="2200"/>
    <s v="No"/>
    <s v="Ibrahim"/>
    <n v="6500"/>
    <n v="0"/>
    <n v="2200"/>
    <n v="4300"/>
  </r>
  <r>
    <n v="100153"/>
    <d v="2026-07-02T00:00:00"/>
    <s v="AB-02"/>
    <x v="0"/>
    <s v="WhatsApp"/>
    <s v="Electronics"/>
    <s v="Earbuds"/>
    <s v="C1117"/>
    <s v="Returning"/>
    <n v="1"/>
    <n v="32000"/>
    <n v="0.25"/>
    <n v="24000"/>
    <n v="19000"/>
    <s v="No"/>
    <s v="Fatima"/>
    <n v="24000"/>
    <n v="0"/>
    <n v="19000"/>
    <n v="5000"/>
  </r>
  <r>
    <n v="100154"/>
    <d v="2026-02-15T00:00:00"/>
    <s v="IB-01"/>
    <x v="3"/>
    <s v="In-store"/>
    <s v="Electronics"/>
    <s v="Earbuds"/>
    <s v="C1024"/>
    <s v="New"/>
    <n v="1"/>
    <n v="32000"/>
    <n v="0"/>
    <n v="32000"/>
    <n v="19000"/>
    <s v="No"/>
    <s v="Fatima"/>
    <n v="32000"/>
    <n v="0"/>
    <n v="19000"/>
    <n v="13000"/>
  </r>
  <r>
    <n v="100155"/>
    <d v="2026-06-25T00:00:00"/>
    <s v="LG-02"/>
    <x v="1"/>
    <s v="In-store"/>
    <s v="Accessories"/>
    <s v="Backpack"/>
    <s v="C1005"/>
    <s v="New"/>
    <n v="5"/>
    <n v="28000"/>
    <n v="0.15"/>
    <n v="119000"/>
    <n v="16000"/>
    <s v="No"/>
    <s v="Chinedu"/>
    <n v="119000"/>
    <n v="0"/>
    <n v="80000"/>
    <n v="39000"/>
  </r>
  <r>
    <n v="100156"/>
    <d v="2026-07-12T00:00:00"/>
    <s v="LG-01"/>
    <x v="1"/>
    <s v="In-store"/>
    <s v="Electronics"/>
    <s v="Earbuds"/>
    <s v="C1004"/>
    <s v="New"/>
    <n v="1"/>
    <n v="32000"/>
    <n v="0"/>
    <n v="32000"/>
    <n v="19000"/>
    <s v="No"/>
    <s v="Kemi"/>
    <n v="32000"/>
    <n v="0"/>
    <n v="19000"/>
    <n v="13000"/>
  </r>
  <r>
    <n v="100157"/>
    <d v="2026-03-27T00:00:00"/>
    <s v="IB-01"/>
    <x v="3"/>
    <s v="Online"/>
    <s v="Electronics"/>
    <s v="Earbuds"/>
    <s v="C1105"/>
    <s v="New"/>
    <n v="1"/>
    <n v="32000"/>
    <n v="0.1"/>
    <n v="28800"/>
    <n v="19000"/>
    <s v="No"/>
    <s v="Grace"/>
    <n v="28800"/>
    <n v="0"/>
    <n v="19000"/>
    <n v="9800"/>
  </r>
  <r>
    <n v="100158"/>
    <d v="2026-06-06T00:00:00"/>
    <s v="PH-01"/>
    <x v="4"/>
    <s v="Online"/>
    <s v="Accessories"/>
    <s v="Phone Case"/>
    <s v="C1067"/>
    <s v="New"/>
    <n v="2"/>
    <n v="9000"/>
    <n v="0.05"/>
    <n v="17100"/>
    <n v="3500"/>
    <s v="No"/>
    <s v="Kemi"/>
    <n v="17100"/>
    <n v="0"/>
    <n v="7000"/>
    <n v="10100"/>
  </r>
  <r>
    <n v="100159"/>
    <d v="2026-07-01T00:00:00"/>
    <s v="LG-01"/>
    <x v="1"/>
    <s v="In-store"/>
    <s v="Home"/>
    <s v="Electric Kettle"/>
    <s v="C1184"/>
    <s v="New"/>
    <n v="1"/>
    <n v="24000"/>
    <n v="0"/>
    <n v="24000"/>
    <n v="15000"/>
    <s v="No"/>
    <s v="David"/>
    <n v="24000"/>
    <n v="0"/>
    <n v="15000"/>
    <n v="9000"/>
  </r>
  <r>
    <n v="100160"/>
    <d v="2026-02-23T00:00:00"/>
    <s v="LG-02"/>
    <x v="1"/>
    <s v="Online"/>
    <s v="Home"/>
    <s v="Electric Kettle"/>
    <s v="C1008"/>
    <s v="Returning"/>
    <n v="1"/>
    <n v="24000"/>
    <n v="0"/>
    <n v="24000"/>
    <n v="15000"/>
    <s v="No"/>
    <s v="Grace"/>
    <n v="24000"/>
    <n v="0"/>
    <n v="15000"/>
    <n v="9000"/>
  </r>
  <r>
    <n v="100161"/>
    <d v="2026-07-27T00:00:00"/>
    <s v="IB-01"/>
    <x v="3"/>
    <s v="WhatsApp"/>
    <s v="Home"/>
    <s v="Standing Fan"/>
    <s v="C1096"/>
    <s v="Returning"/>
    <n v="3"/>
    <n v="58000"/>
    <n v="0"/>
    <n v="174000"/>
    <n v="39000"/>
    <s v="No"/>
    <s v="David"/>
    <n v="174000"/>
    <n v="0"/>
    <n v="117000"/>
    <n v="57000"/>
  </r>
  <r>
    <n v="100162"/>
    <d v="2026-04-17T00:00:00"/>
    <s v="IB-01"/>
    <x v="3"/>
    <s v="WhatsApp"/>
    <s v="Accessories"/>
    <s v="Phone Case"/>
    <s v="C1119"/>
    <s v="New"/>
    <n v="1"/>
    <n v="9000"/>
    <n v="0"/>
    <n v="9000"/>
    <n v="3500"/>
    <s v="No"/>
    <s v="Fatima"/>
    <n v="9000"/>
    <n v="0"/>
    <n v="3500"/>
    <n v="5500"/>
  </r>
  <r>
    <n v="100163"/>
    <d v="2026-06-26T00:00:00"/>
    <s v="KN-01"/>
    <x v="2"/>
    <s v="Online"/>
    <s v="Electronics"/>
    <s v="Power Bank"/>
    <s v="C1158"/>
    <s v="New"/>
    <n v="5"/>
    <n v="26000"/>
    <n v="0.15"/>
    <n v="88400"/>
    <n v="15000"/>
    <s v="No"/>
    <s v="Bola"/>
    <n v="110500"/>
    <n v="-22100"/>
    <n v="75000"/>
    <n v="35500"/>
  </r>
  <r>
    <n v="100164"/>
    <d v="2026-03-25T00:00:00"/>
    <s v="KN-01"/>
    <x v="2"/>
    <s v="Online"/>
    <s v="Electronics"/>
    <s v="Smartphone"/>
    <s v="C1037"/>
    <s v="Returning"/>
    <n v="5"/>
    <n v="165000"/>
    <n v="0.05"/>
    <n v="783750"/>
    <n v="112000"/>
    <s v="No"/>
    <s v="Chinedu"/>
    <n v="783750"/>
    <n v="0"/>
    <n v="560000"/>
    <n v="223750"/>
  </r>
  <r>
    <n v="100165"/>
    <d v="2026-05-17T00:00:00"/>
    <s v="LG-01"/>
    <x v="1"/>
    <s v="Online"/>
    <s v="Electronics"/>
    <s v="Smartphone"/>
    <s v="C1036"/>
    <s v="Returning"/>
    <n v="1"/>
    <n v="165000"/>
    <n v="0"/>
    <n v="165000"/>
    <n v="112000"/>
    <s v="No"/>
    <s v="Fatima"/>
    <n v="165000"/>
    <n v="0"/>
    <n v="112000"/>
    <n v="53000"/>
  </r>
  <r>
    <n v="100166"/>
    <d v="2026-05-02T00:00:00"/>
    <s v="LG-01"/>
    <x v="1"/>
    <s v="Online"/>
    <s v="Electronics"/>
    <s v="Earbuds"/>
    <s v="C1013"/>
    <s v="Returning"/>
    <n v="3"/>
    <n v="32000"/>
    <n v="0.05"/>
    <n v="91200"/>
    <n v="19000"/>
    <s v="No"/>
    <s v="Aisha"/>
    <n v="91200"/>
    <n v="0"/>
    <n v="57000"/>
    <n v="34200"/>
  </r>
  <r>
    <n v="100167"/>
    <d v="2026-08-18T00:00:00"/>
    <s v="LG-02"/>
    <x v="1"/>
    <s v="WhatsApp"/>
    <s v="Electronics"/>
    <s v="Earbuds"/>
    <s v="C1023"/>
    <s v="New"/>
    <n v="1"/>
    <n v="32000"/>
    <n v="0.1"/>
    <n v="28800"/>
    <n v="19000"/>
    <s v="No"/>
    <s v="Aisha"/>
    <n v="28800"/>
    <n v="0"/>
    <n v="19000"/>
    <n v="9800"/>
  </r>
  <r>
    <n v="100168"/>
    <d v="2026-08-17T00:00:00"/>
    <s v="KN-01"/>
    <x v="2"/>
    <s v="WhatsApp"/>
    <s v="Electronics"/>
    <s v="Earbuds"/>
    <s v="C1134"/>
    <s v="New"/>
    <n v="22"/>
    <n v="32000"/>
    <n v="0.05"/>
    <n v="668800"/>
    <n v="19000"/>
    <s v="Yes"/>
    <s v="Chinedu"/>
    <n v="668800"/>
    <n v="0"/>
    <n v="418000"/>
    <n v="250800"/>
  </r>
  <r>
    <n v="100169"/>
    <d v="2026-02-02T00:00:00"/>
    <s v="AB-01"/>
    <x v="0"/>
    <s v="WhatsApp"/>
    <s v="Electronics"/>
    <s v="Power Bank"/>
    <s v="C1176"/>
    <s v="Returning"/>
    <n v="3"/>
    <n v="26000"/>
    <n v="0.15"/>
    <n v="66300"/>
    <n v="15000"/>
    <s v="Yes"/>
    <s v="David"/>
    <n v="66300"/>
    <n v="0"/>
    <n v="45000"/>
    <n v="21300"/>
  </r>
  <r>
    <n v="100170"/>
    <d v="2026-05-16T00:00:00"/>
    <s v="LG-02"/>
    <x v="1"/>
    <s v="In-store"/>
    <s v="Electronics"/>
    <s v="Power Bank"/>
    <s v="C1004"/>
    <s v="New"/>
    <n v="1"/>
    <n v="26000"/>
    <n v="0.05"/>
    <n v="24700"/>
    <n v="15000"/>
    <s v="No"/>
    <s v="Ibrahim"/>
    <n v="24700"/>
    <n v="0"/>
    <n v="15000"/>
    <n v="9700"/>
  </r>
  <r>
    <n v="100171"/>
    <d v="2026-07-24T00:00:00"/>
    <s v="KN-01"/>
    <x v="2"/>
    <s v="Online"/>
    <s v="Home"/>
    <s v="Electric Kettle"/>
    <s v="C1026"/>
    <s v="Returning"/>
    <n v="3"/>
    <n v="24000"/>
    <n v="0.15"/>
    <n v="61200"/>
    <n v="15000"/>
    <s v="No"/>
    <s v="Grace"/>
    <n v="61200"/>
    <n v="0"/>
    <n v="45000"/>
    <n v="16200"/>
  </r>
  <r>
    <n v="100172"/>
    <d v="2026-03-29T00:00:00"/>
    <s v="IB-01"/>
    <x v="3"/>
    <s v="In-store"/>
    <s v="Accessories"/>
    <s v="Backpack"/>
    <s v="C1172"/>
    <s v="New"/>
    <n v="2"/>
    <n v="28000"/>
    <n v="0.15"/>
    <n v="52360"/>
    <n v="16000"/>
    <s v="No"/>
    <s v="David"/>
    <n v="47600"/>
    <n v="4760"/>
    <n v="32000"/>
    <n v="15600"/>
  </r>
  <r>
    <n v="100173"/>
    <d v="2026-01-30T00:00:00"/>
    <s v="KN-01"/>
    <x v="2"/>
    <s v="Online"/>
    <s v="Accessories"/>
    <s v="USB Cable"/>
    <s v="C1102"/>
    <s v="Returning"/>
    <n v="1"/>
    <n v="6500"/>
    <n v="0.1"/>
    <n v="5850"/>
    <n v="2200"/>
    <s v="Yes"/>
    <s v="Chinedu"/>
    <n v="5850"/>
    <n v="0"/>
    <n v="2200"/>
    <n v="3650"/>
  </r>
  <r>
    <n v="100174"/>
    <d v="2026-08-03T00:00:00"/>
    <s v="LG-01"/>
    <x v="1"/>
    <s v="In-store"/>
    <s v="Accessories"/>
    <s v="USB Cable"/>
    <s v="C1096"/>
    <s v="Returning"/>
    <n v="2"/>
    <n v="6500"/>
    <n v="0.15"/>
    <n v="11050"/>
    <n v="2200"/>
    <s v="No"/>
    <s v="Aisha"/>
    <n v="11050"/>
    <n v="0"/>
    <n v="4400"/>
    <n v="6650"/>
  </r>
  <r>
    <n v="100175"/>
    <d v="2026-01-17T00:00:00"/>
    <s v="AB-02"/>
    <x v="0"/>
    <s v="In-store"/>
    <s v="Home"/>
    <s v="Electric Kettle"/>
    <s v="C1102"/>
    <s v="Returning"/>
    <n v="5"/>
    <n v="24000"/>
    <n v="0.25"/>
    <n v="90000"/>
    <n v="15000"/>
    <s v="No"/>
    <s v="David"/>
    <n v="90000"/>
    <n v="0"/>
    <n v="75000"/>
    <n v="15000"/>
  </r>
  <r>
    <n v="100176"/>
    <d v="2026-08-21T00:00:00"/>
    <s v="IB-01"/>
    <x v="3"/>
    <s v="Online"/>
    <s v="Accessories"/>
    <s v="Phone Case"/>
    <s v="C1134"/>
    <s v="New"/>
    <n v="2"/>
    <n v="9000"/>
    <n v="0.1"/>
    <n v="16200"/>
    <n v="3500"/>
    <s v="No"/>
    <s v="Ibrahim"/>
    <n v="16200"/>
    <n v="0"/>
    <n v="7000"/>
    <n v="9200"/>
  </r>
  <r>
    <n v="100177"/>
    <d v="2026-06-07T00:00:00"/>
    <s v="AB-02"/>
    <x v="0"/>
    <s v="WhatsApp"/>
    <s v="Home"/>
    <s v="Standing Fan"/>
    <s v="C1123"/>
    <s v="New"/>
    <n v="1"/>
    <n v="58000"/>
    <n v="0.2"/>
    <n v="46400"/>
    <n v="39000"/>
    <s v="No"/>
    <s v="Kemi"/>
    <n v="46400"/>
    <n v="0"/>
    <n v="39000"/>
    <n v="7400"/>
  </r>
  <r>
    <n v="100178"/>
    <d v="2026-03-14T00:00:00"/>
    <s v="KN-01"/>
    <x v="2"/>
    <s v="In-store"/>
    <s v="Accessories"/>
    <s v="USB Cable"/>
    <s v="C1029"/>
    <s v="Returning"/>
    <n v="2"/>
    <n v="6500"/>
    <n v="0.15"/>
    <n v="11050"/>
    <n v="2200"/>
    <s v="No"/>
    <s v="Grace"/>
    <n v="11050"/>
    <n v="0"/>
    <n v="4400"/>
    <n v="6650"/>
  </r>
  <r>
    <n v="100179"/>
    <d v="2026-03-04T00:00:00"/>
    <s v="KN-01"/>
    <x v="2"/>
    <s v="In-store"/>
    <s v="Electronics"/>
    <s v="Earbuds"/>
    <s v="C1120"/>
    <s v="Returning"/>
    <n v="5"/>
    <n v="32000"/>
    <n v="0.15"/>
    <n v="136000"/>
    <n v="19000"/>
    <s v="No"/>
    <s v="Grace"/>
    <n v="136000"/>
    <n v="0"/>
    <n v="95000"/>
    <n v="41000"/>
  </r>
  <r>
    <n v="100180"/>
    <d v="2026-05-25T00:00:00"/>
    <s v="LG-02"/>
    <x v="1"/>
    <s v="In-store"/>
    <s v="Accessories"/>
    <s v="Backpack"/>
    <s v="C1161"/>
    <s v="New"/>
    <n v="3"/>
    <n v="28000"/>
    <n v="0.05"/>
    <n v="79800"/>
    <n v="16000"/>
    <s v="No"/>
    <s v="Chinedu"/>
    <n v="79800"/>
    <n v="0"/>
    <n v="48000"/>
    <n v="31800"/>
  </r>
  <r>
    <n v="100181"/>
    <d v="2026-01-30T00:00:00"/>
    <s v="PH-01"/>
    <x v="4"/>
    <s v="Online"/>
    <s v="Home"/>
    <s v="Electric Kettle"/>
    <s v="C1112"/>
    <s v="Returning"/>
    <n v="1"/>
    <n v="24000"/>
    <n v="0.1"/>
    <n v="21600"/>
    <n v="15000"/>
    <s v="Yes"/>
    <s v="Chinedu"/>
    <n v="21600"/>
    <n v="0"/>
    <n v="15000"/>
    <n v="6600"/>
  </r>
  <r>
    <n v="100182"/>
    <d v="2026-03-13T00:00:00"/>
    <s v="AB-01"/>
    <x v="0"/>
    <s v="Online"/>
    <s v="Accessories"/>
    <s v="Backpack"/>
    <s v="C1097"/>
    <s v="Returning"/>
    <n v="2"/>
    <n v="28000"/>
    <n v="0.2"/>
    <n v="44800"/>
    <n v="16000"/>
    <s v="Yes"/>
    <s v="Kemi"/>
    <n v="44800"/>
    <n v="0"/>
    <n v="32000"/>
    <n v="12800"/>
  </r>
  <r>
    <n v="100183"/>
    <d v="2026-07-16T00:00:00"/>
    <s v="IB-01"/>
    <x v="3"/>
    <s v="In-store"/>
    <s v="Home"/>
    <s v="Standing Fan"/>
    <s v="C1061"/>
    <s v="Returning"/>
    <n v="5"/>
    <n v="58000"/>
    <n v="0.15"/>
    <n v="246500"/>
    <n v="39000"/>
    <s v="No"/>
    <s v="Grace"/>
    <n v="246500"/>
    <n v="0"/>
    <n v="195000"/>
    <n v="51500"/>
  </r>
  <r>
    <n v="100184"/>
    <d v="2026-01-22T00:00:00"/>
    <s v="LG-02"/>
    <x v="1"/>
    <s v="In-store"/>
    <s v="Home"/>
    <s v="Blender"/>
    <s v="C1102"/>
    <s v="New"/>
    <n v="1"/>
    <n v="42000"/>
    <n v="0"/>
    <n v="42000"/>
    <n v="28000"/>
    <s v="No"/>
    <s v="David"/>
    <n v="42000"/>
    <n v="0"/>
    <n v="28000"/>
    <n v="14000"/>
  </r>
  <r>
    <n v="100185"/>
    <d v="2026-01-13T00:00:00"/>
    <s v="AB-01"/>
    <x v="0"/>
    <s v="WhatsApp"/>
    <s v="Home"/>
    <s v="Blender"/>
    <s v="C1165"/>
    <s v="Returning"/>
    <n v="2"/>
    <n v="42000"/>
    <n v="0.15"/>
    <n v="71400"/>
    <n v="28000"/>
    <s v="No"/>
    <s v="Kemi"/>
    <n v="71400"/>
    <n v="0"/>
    <n v="56000"/>
    <n v="15400"/>
  </r>
  <r>
    <n v="100186"/>
    <d v="2026-01-19T00:00:00"/>
    <s v="AB-02"/>
    <x v="0"/>
    <s v="Online"/>
    <s v="Accessories "/>
    <s v="Phone Case"/>
    <s v="C1014"/>
    <s v="New"/>
    <n v="2"/>
    <n v="9000"/>
    <n v="0.05"/>
    <n v="17100"/>
    <n v="3500"/>
    <s v="No"/>
    <s v="Grace"/>
    <n v="17100"/>
    <n v="0"/>
    <n v="7000"/>
    <n v="10100"/>
  </r>
  <r>
    <n v="100187"/>
    <d v="2026-01-03T00:00:00"/>
    <s v="KN-01"/>
    <x v="2"/>
    <s v="In-store"/>
    <s v="Home"/>
    <s v="Standing Fan"/>
    <s v="C1181"/>
    <s v="New"/>
    <n v="2"/>
    <n v="58000"/>
    <n v="0.1"/>
    <n v="104400"/>
    <n v="39000"/>
    <s v="No"/>
    <s v="Ibrahim"/>
    <n v="104400"/>
    <n v="0"/>
    <n v="78000"/>
    <n v="26400"/>
  </r>
  <r>
    <n v="100188"/>
    <d v="2026-05-28T00:00:00"/>
    <s v="KN-01"/>
    <x v="2"/>
    <s v="Online"/>
    <s v="Electronics"/>
    <s v="Earbuds"/>
    <s v="C1170"/>
    <s v="New"/>
    <n v="1"/>
    <n v="32000"/>
    <n v="0.1"/>
    <n v="28800"/>
    <n v="19000"/>
    <s v="No"/>
    <s v="Kemi"/>
    <n v="28800"/>
    <n v="0"/>
    <n v="19000"/>
    <n v="9800"/>
  </r>
  <r>
    <n v="100189"/>
    <d v="2026-04-24T00:00:00"/>
    <s v="AB-02"/>
    <x v="0"/>
    <s v="WhatsApp"/>
    <s v="Accessories"/>
    <s v="USB Cable"/>
    <s v="C1117"/>
    <s v="Returning"/>
    <n v="1"/>
    <n v="6500"/>
    <n v="0.05"/>
    <n v="6175"/>
    <n v="2200"/>
    <s v="No"/>
    <s v="Chinedu"/>
    <n v="6175"/>
    <n v="0"/>
    <n v="2200"/>
    <n v="3975"/>
  </r>
  <r>
    <n v="100190"/>
    <d v="2026-05-16T00:00:00"/>
    <s v="LG-01"/>
    <x v="1"/>
    <s v="WhatsApp"/>
    <s v="Home"/>
    <s v="Blender"/>
    <s v="C1022"/>
    <s v="Returning"/>
    <n v="2"/>
    <n v="42000"/>
    <n v="0.15"/>
    <n v="71400"/>
    <n v="28000"/>
    <s v="No"/>
    <s v="Bola"/>
    <n v="71400"/>
    <n v="0"/>
    <n v="56000"/>
    <n v="15400"/>
  </r>
  <r>
    <n v="100191"/>
    <d v="2026-01-29T00:00:00"/>
    <s v="IB-01"/>
    <x v="3"/>
    <s v="In-store"/>
    <s v="Accessories"/>
    <s v="USB Cable"/>
    <s v="C1026"/>
    <s v="New"/>
    <n v="3"/>
    <n v="6500"/>
    <n v="0.1"/>
    <n v="17550"/>
    <n v="2200"/>
    <s v="No"/>
    <s v="David"/>
    <n v="17550"/>
    <n v="0"/>
    <n v="6600"/>
    <n v="10950"/>
  </r>
  <r>
    <n v="100192"/>
    <d v="2026-03-07T00:00:00"/>
    <s v="KN-01"/>
    <x v="2"/>
    <s v="Online"/>
    <s v="Electronics"/>
    <s v="Smartphone"/>
    <s v="C1128"/>
    <s v="Returning"/>
    <n v="2"/>
    <n v="165000"/>
    <n v="0.1"/>
    <n v="267300"/>
    <n v="112000"/>
    <s v="No"/>
    <s v="David"/>
    <n v="297000"/>
    <n v="-29700"/>
    <n v="224000"/>
    <n v="73000"/>
  </r>
  <r>
    <n v="100193"/>
    <d v="2026-07-23T00:00:00"/>
    <s v="PH-01"/>
    <x v="4"/>
    <s v="Online"/>
    <s v="Electronics"/>
    <s v="Power Bank"/>
    <s v="C1112"/>
    <s v="New"/>
    <n v="3"/>
    <n v="26000"/>
    <n v="0.1"/>
    <n v="70200"/>
    <n v="15000"/>
    <s v="No"/>
    <s v="Bola"/>
    <n v="70200"/>
    <n v="0"/>
    <n v="45000"/>
    <n v="25200"/>
  </r>
  <r>
    <n v="100194"/>
    <d v="2026-05-23T00:00:00"/>
    <s v="AB-02"/>
    <x v="0"/>
    <s v="WhatsApp"/>
    <s v="Electronics"/>
    <s v="Smartphone"/>
    <s v="C1150"/>
    <s v="Returning"/>
    <n v="3"/>
    <n v="165000"/>
    <n v="0.25"/>
    <n v="371250"/>
    <n v="112000"/>
    <s v="No"/>
    <s v="Bola"/>
    <n v="371250"/>
    <n v="0"/>
    <n v="336000"/>
    <n v="35250"/>
  </r>
  <r>
    <n v="100195"/>
    <d v="2026-03-28T00:00:00"/>
    <s v="PH-01"/>
    <x v="4"/>
    <s v="In-store"/>
    <s v="Home"/>
    <s v="Electric Kettle"/>
    <s v="C1188"/>
    <s v="New"/>
    <n v="2"/>
    <n v="24000"/>
    <n v="0.05"/>
    <n v="45600"/>
    <n v="15000"/>
    <s v="No"/>
    <s v="Ibrahim"/>
    <n v="45600"/>
    <n v="0"/>
    <n v="30000"/>
    <n v="15600"/>
  </r>
  <r>
    <n v="100196"/>
    <d v="2026-02-25T00:00:00"/>
    <s v="LG-02"/>
    <x v="1"/>
    <s v="In-store"/>
    <s v="Electronics"/>
    <s v="Earbuds"/>
    <s v="C1147"/>
    <s v="Returning"/>
    <n v="4"/>
    <n v="32000"/>
    <n v="0.1"/>
    <n v="115200"/>
    <n v="19000"/>
    <s v="No"/>
    <s v="Grace"/>
    <n v="115200"/>
    <n v="0"/>
    <n v="76000"/>
    <n v="39200"/>
  </r>
  <r>
    <n v="100197"/>
    <d v="2026-08-01T00:00:00"/>
    <s v="AB-01"/>
    <x v="0"/>
    <s v="Online"/>
    <s v="Accessories"/>
    <s v="Phone Case"/>
    <s v="C1152"/>
    <s v="Returning"/>
    <n v="1"/>
    <n v="9000"/>
    <n v="0.25"/>
    <n v="6750"/>
    <n v="3500"/>
    <s v="Yes"/>
    <s v="Kemi"/>
    <n v="6750"/>
    <n v="0"/>
    <n v="3500"/>
    <n v="3250"/>
  </r>
  <r>
    <n v="100198"/>
    <d v="2026-04-30T00:00:00"/>
    <s v="KN-01"/>
    <x v="2"/>
    <s v="Online"/>
    <s v="Electronics"/>
    <s v="Smartphone"/>
    <s v="C1024"/>
    <s v="Returning"/>
    <n v="2"/>
    <n v="165000"/>
    <n v="0.05"/>
    <n v="313500"/>
    <n v="112000"/>
    <s v="No"/>
    <s v="Fatima"/>
    <n v="313500"/>
    <n v="0"/>
    <n v="224000"/>
    <n v="89500"/>
  </r>
  <r>
    <n v="100199"/>
    <d v="2026-05-28T00:00:00"/>
    <s v="IB-01"/>
    <x v="3"/>
    <s v="WhatsApp"/>
    <s v="Accessories"/>
    <s v="Backpack"/>
    <s v="C1135"/>
    <s v="Returning"/>
    <n v="2"/>
    <n v="28000"/>
    <n v="0.05"/>
    <n v="53200"/>
    <n v="16000"/>
    <s v="No"/>
    <s v="David"/>
    <n v="53200"/>
    <n v="0"/>
    <n v="32000"/>
    <n v="21200"/>
  </r>
  <r>
    <n v="100200"/>
    <d v="2026-01-02T00:00:00"/>
    <s v="KN-01"/>
    <x v="2"/>
    <s v="In-store"/>
    <s v="Accessories"/>
    <s v="Backpack"/>
    <s v="C1108"/>
    <s v="Returning"/>
    <n v="2"/>
    <n v="28000"/>
    <n v="0.05"/>
    <n v="53200"/>
    <n v="16000"/>
    <s v="No"/>
    <s v="Ibrahim"/>
    <n v="53200"/>
    <n v="0"/>
    <n v="32000"/>
    <n v="21200"/>
  </r>
  <r>
    <n v="100201"/>
    <d v="2026-02-22T00:00:00"/>
    <s v="KN-01"/>
    <x v="2"/>
    <s v="Online"/>
    <s v="Accessories"/>
    <s v="USB Cable"/>
    <s v="C1161"/>
    <s v="New"/>
    <n v="4"/>
    <n v="6500"/>
    <n v="0"/>
    <n v="26000"/>
    <n v="2200"/>
    <s v="Yes"/>
    <s v="Aisha"/>
    <n v="26000"/>
    <n v="0"/>
    <n v="8800"/>
    <n v="17200"/>
  </r>
  <r>
    <n v="100202"/>
    <d v="2026-07-25T00:00:00"/>
    <s v="AB-01"/>
    <x v="0"/>
    <s v="Online"/>
    <s v="Accessories"/>
    <s v="USB Cable"/>
    <s v="C1097"/>
    <s v="New"/>
    <n v="1"/>
    <n v="6500"/>
    <n v="0.05"/>
    <n v="6175"/>
    <n v="2200"/>
    <s v="No"/>
    <s v="Fatima"/>
    <n v="6175"/>
    <n v="0"/>
    <n v="2200"/>
    <n v="3975"/>
  </r>
  <r>
    <n v="100203"/>
    <d v="2026-05-09T00:00:00"/>
    <s v="AB-01"/>
    <x v="0"/>
    <s v="In-store"/>
    <s v="Electronics"/>
    <s v="Smartphone"/>
    <s v="C1062"/>
    <s v="Returning"/>
    <n v="1"/>
    <n v="165000"/>
    <n v="0.25"/>
    <n v="123750"/>
    <n v="112000"/>
    <s v="No"/>
    <s v="Ibrahim"/>
    <n v="123750"/>
    <n v="0"/>
    <n v="112000"/>
    <n v="11750"/>
  </r>
  <r>
    <n v="100204"/>
    <d v="2026-03-18T00:00:00"/>
    <s v="AB-02"/>
    <x v="0"/>
    <s v="In-store"/>
    <s v="Accessories"/>
    <s v="Phone Case"/>
    <s v="C1021"/>
    <s v="Returning"/>
    <n v="3"/>
    <n v="9000"/>
    <n v="0.25"/>
    <n v="20250"/>
    <n v="3500"/>
    <s v="No"/>
    <s v="Fatima"/>
    <n v="20250"/>
    <n v="0"/>
    <n v="10500"/>
    <n v="9750"/>
  </r>
  <r>
    <n v="100205"/>
    <d v="2026-01-10T00:00:00"/>
    <s v="PH-01"/>
    <x v="4"/>
    <s v="Online"/>
    <s v="Home"/>
    <s v="Electric Kettle"/>
    <s v="C1131"/>
    <s v="New"/>
    <n v="5"/>
    <n v="24000"/>
    <n v="0.1"/>
    <n v="108000"/>
    <n v="15000"/>
    <s v="No"/>
    <s v="Grace"/>
    <n v="108000"/>
    <n v="0"/>
    <n v="75000"/>
    <n v="33000"/>
  </r>
  <r>
    <n v="100206"/>
    <d v="2026-08-10T00:00:00"/>
    <s v="LG-02"/>
    <x v="1"/>
    <s v="WhatsApp"/>
    <s v="Home"/>
    <s v="Standing Fan"/>
    <s v="C1097"/>
    <s v="New"/>
    <n v="1"/>
    <n v="58000"/>
    <n v="0.15"/>
    <n v="49300"/>
    <n v="39000"/>
    <s v="No"/>
    <s v="Aisha"/>
    <n v="49300"/>
    <n v="0"/>
    <n v="39000"/>
    <n v="10300"/>
  </r>
  <r>
    <n v="100207"/>
    <d v="2026-03-31T00:00:00"/>
    <s v="IB-01"/>
    <x v="3"/>
    <s v="In-store"/>
    <s v="Electronics"/>
    <s v="Smartphone"/>
    <s v="C1166"/>
    <s v="Returning"/>
    <n v="1"/>
    <n v="165000"/>
    <n v="0.1"/>
    <n v="148500"/>
    <n v="112000"/>
    <s v="No"/>
    <s v="Kemi"/>
    <n v="148500"/>
    <n v="0"/>
    <n v="112000"/>
    <n v="36500"/>
  </r>
  <r>
    <n v="100208"/>
    <d v="2026-03-19T00:00:00"/>
    <s v="AB-02"/>
    <x v="0"/>
    <s v="In-store"/>
    <s v="Home"/>
    <s v="Standing Fan"/>
    <s v="C1076"/>
    <s v="Returning"/>
    <n v="2"/>
    <n v="58000"/>
    <n v="0.15"/>
    <n v="98600"/>
    <n v="39000"/>
    <s v="No"/>
    <s v="Kemi"/>
    <n v="98600"/>
    <n v="0"/>
    <n v="78000"/>
    <n v="20600"/>
  </r>
  <r>
    <n v="100209"/>
    <d v="2026-07-04T00:00:00"/>
    <s v="KN-01"/>
    <x v="2"/>
    <s v="In-store"/>
    <s v="Electronics"/>
    <s v="Power Bank"/>
    <s v="C1145"/>
    <s v="Returning"/>
    <n v="3"/>
    <n v="26000"/>
    <n v="0"/>
    <n v="78000"/>
    <n v="15000"/>
    <s v="No"/>
    <s v="Kemi"/>
    <n v="78000"/>
    <n v="0"/>
    <n v="45000"/>
    <n v="33000"/>
  </r>
  <r>
    <n v="100210"/>
    <d v="2026-08-05T00:00:00"/>
    <s v="PH-01"/>
    <x v="4"/>
    <s v="In-store"/>
    <s v="Electronics"/>
    <s v="Earbuds"/>
    <s v="C1119"/>
    <s v="Returning"/>
    <n v="1"/>
    <n v="32000"/>
    <n v="0"/>
    <n v="32000"/>
    <n v="19000"/>
    <s v="No"/>
    <s v="Grace"/>
    <n v="32000"/>
    <n v="0"/>
    <n v="19000"/>
    <n v="13000"/>
  </r>
  <r>
    <n v="100211"/>
    <d v="2026-08-26T00:00:00"/>
    <s v="KN-01"/>
    <x v="2"/>
    <s v="In-store"/>
    <s v="Home"/>
    <s v="Blender"/>
    <s v="C1081"/>
    <s v="Returning"/>
    <n v="4"/>
    <n v="42000"/>
    <n v="0"/>
    <n v="168000"/>
    <n v="28000"/>
    <s v="No"/>
    <s v="Fatima"/>
    <n v="168000"/>
    <n v="0"/>
    <n v="112000"/>
    <n v="56000"/>
  </r>
  <r>
    <n v="100212"/>
    <d v="2026-04-05T00:00:00"/>
    <s v="IB-01"/>
    <x v="3"/>
    <s v="Online"/>
    <s v="Home"/>
    <s v="Electric Kettle"/>
    <s v="C1156"/>
    <s v="Returning"/>
    <n v="2"/>
    <n v="24000"/>
    <n v="0.15"/>
    <n v="40800"/>
    <n v="15000"/>
    <s v="No"/>
    <s v="Ibrahim"/>
    <n v="40800"/>
    <n v="0"/>
    <n v="30000"/>
    <n v="10800"/>
  </r>
  <r>
    <n v="100213"/>
    <d v="2026-01-01T00:00:00"/>
    <s v="AB-02"/>
    <x v="0"/>
    <s v="In-store"/>
    <s v="Electronics"/>
    <s v="Smartphone"/>
    <s v="C1085"/>
    <s v="New"/>
    <n v="2"/>
    <n v="165000"/>
    <n v="0.15"/>
    <n v="280500"/>
    <n v="112000"/>
    <s v="No"/>
    <s v="Fatima"/>
    <n v="280500"/>
    <n v="0"/>
    <n v="224000"/>
    <n v="56500"/>
  </r>
  <r>
    <n v="100214"/>
    <d v="2026-03-05T00:00:00"/>
    <s v="LG-01"/>
    <x v="1"/>
    <s v="In-store"/>
    <s v="Accessories"/>
    <s v="USB Cable"/>
    <s v="C1165"/>
    <s v="New"/>
    <n v="2"/>
    <n v="6500"/>
    <n v="0.05"/>
    <n v="12350"/>
    <n v="2200"/>
    <s v="No"/>
    <s v="Grace"/>
    <n v="12350"/>
    <n v="0"/>
    <n v="4400"/>
    <n v="7950"/>
  </r>
  <r>
    <n v="100215"/>
    <d v="2026-04-16T00:00:00"/>
    <s v="KN-01"/>
    <x v="2"/>
    <s v="In-store"/>
    <s v="Electronics"/>
    <s v="Power Bank"/>
    <s v="C1024"/>
    <s v="New"/>
    <n v="3"/>
    <n v="26000"/>
    <n v="0"/>
    <n v="78000"/>
    <n v="15000"/>
    <s v="No"/>
    <s v="Grace"/>
    <n v="78000"/>
    <n v="0"/>
    <n v="45000"/>
    <n v="33000"/>
  </r>
  <r>
    <n v="100216"/>
    <d v="2026-05-19T00:00:00"/>
    <s v="LG-01"/>
    <x v="1"/>
    <s v="Online"/>
    <s v="Accessories"/>
    <s v="USB Cable"/>
    <s v="C1076"/>
    <s v="New"/>
    <n v="4"/>
    <n v="6500"/>
    <n v="0"/>
    <n v="26000"/>
    <n v="2200"/>
    <s v="No"/>
    <s v="Chinedu"/>
    <n v="26000"/>
    <n v="0"/>
    <n v="8800"/>
    <n v="17200"/>
  </r>
  <r>
    <n v="100217"/>
    <d v="2026-06-25T00:00:00"/>
    <s v="LG-02"/>
    <x v="1"/>
    <s v="Online"/>
    <s v="Home"/>
    <s v="Electric Kettle"/>
    <s v="C1144"/>
    <s v="Returning"/>
    <n v="2"/>
    <n v="24000"/>
    <n v="0.05"/>
    <n v="45600"/>
    <n v="15000"/>
    <s v="No"/>
    <s v="Fatima"/>
    <n v="45600"/>
    <n v="0"/>
    <n v="30000"/>
    <n v="15600"/>
  </r>
  <r>
    <n v="100218"/>
    <d v="2026-04-08T00:00:00"/>
    <s v="LG-02"/>
    <x v="1"/>
    <s v="WhatsApp"/>
    <s v="Home"/>
    <s v="Standing Fan"/>
    <s v="C1098"/>
    <s v="New"/>
    <n v="3"/>
    <n v="58000"/>
    <n v="0.05"/>
    <n v="165300"/>
    <n v="39000"/>
    <s v="No"/>
    <s v="Fatima"/>
    <n v="165300"/>
    <n v="0"/>
    <n v="117000"/>
    <n v="48300"/>
  </r>
  <r>
    <n v="100219"/>
    <d v="2026-08-19T00:00:00"/>
    <s v="PH-01"/>
    <x v="4"/>
    <s v="In-store"/>
    <s v="Home"/>
    <s v="Standing Fan"/>
    <s v="C1107"/>
    <s v="Returning"/>
    <n v="5"/>
    <n v="58000"/>
    <n v="0.15"/>
    <n v="246500"/>
    <n v="39000"/>
    <s v="No"/>
    <s v="Grace"/>
    <n v="246500"/>
    <n v="0"/>
    <n v="195000"/>
    <n v="51500"/>
  </r>
  <r>
    <n v="100220"/>
    <d v="2026-01-02T00:00:00"/>
    <s v="KN-01"/>
    <x v="2"/>
    <s v="WhatsApp"/>
    <s v="Electronics"/>
    <s v="Power Bank"/>
    <s v="C1104"/>
    <s v="Returning"/>
    <n v="2"/>
    <n v="26000"/>
    <n v="0"/>
    <n v="52000"/>
    <n v="15000"/>
    <s v="No"/>
    <s v="Chinedu"/>
    <n v="52000"/>
    <n v="0"/>
    <n v="30000"/>
    <n v="22000"/>
  </r>
  <r>
    <n v="100221"/>
    <d v="2026-03-30T00:00:00"/>
    <s v="IB-01"/>
    <x v="3"/>
    <s v="In-store"/>
    <s v="Accessories"/>
    <s v="Backpack"/>
    <s v="C1003"/>
    <s v="Returning"/>
    <n v="3"/>
    <n v="28000"/>
    <n v="0.1"/>
    <n v="75600"/>
    <n v="16000"/>
    <s v="No"/>
    <s v="Fatima"/>
    <n v="75600"/>
    <n v="0"/>
    <n v="48000"/>
    <n v="27600"/>
  </r>
  <r>
    <n v="100222"/>
    <d v="2026-08-21T00:00:00"/>
    <s v="AB-02"/>
    <x v="0"/>
    <s v="WhatsApp"/>
    <s v="Home"/>
    <s v="Standing Fan"/>
    <s v="C1178"/>
    <s v="New"/>
    <n v="3"/>
    <n v="58000"/>
    <n v="0.25"/>
    <n v="130500"/>
    <n v="39000"/>
    <s v="Yes"/>
    <s v="Ibrahim"/>
    <n v="130500"/>
    <n v="0"/>
    <n v="117000"/>
    <n v="13500"/>
  </r>
  <r>
    <n v="100223"/>
    <d v="2026-05-23T00:00:00"/>
    <s v="PH-01"/>
    <x v="4"/>
    <s v="WhatsApp"/>
    <s v="Home"/>
    <s v="Blender"/>
    <s v="C1033"/>
    <s v="Returning"/>
    <n v="3"/>
    <n v="42000"/>
    <n v="0.15"/>
    <n v="107100"/>
    <n v="28000"/>
    <s v="No"/>
    <s v="David"/>
    <n v="107100"/>
    <n v="0"/>
    <n v="84000"/>
    <n v="23100"/>
  </r>
  <r>
    <n v="100224"/>
    <d v="2026-05-07T00:00:00"/>
    <s v="LG-02"/>
    <x v="1"/>
    <s v="Online"/>
    <s v="Electronics"/>
    <s v="Earbuds"/>
    <s v="C1013"/>
    <s v="Returning"/>
    <n v="1"/>
    <n v="32000"/>
    <n v="0.1"/>
    <n v="28800"/>
    <n v="19000"/>
    <s v="No"/>
    <s v="Grace"/>
    <n v="28800"/>
    <n v="0"/>
    <n v="19000"/>
    <n v="9800"/>
  </r>
  <r>
    <n v="100225"/>
    <d v="2026-02-26T00:00:00"/>
    <s v="KN-01"/>
    <x v="2"/>
    <s v="Online"/>
    <s v="Home"/>
    <s v="Electric Kettle"/>
    <s v="C1126"/>
    <s v="New"/>
    <n v="1"/>
    <n v="24000"/>
    <n v="0.05"/>
    <n v="22800"/>
    <n v="15000"/>
    <s v="No"/>
    <s v="Kemi"/>
    <n v="22800"/>
    <n v="0"/>
    <n v="15000"/>
    <n v="7800"/>
  </r>
  <r>
    <n v="100226"/>
    <d v="2026-02-01T00:00:00"/>
    <s v="IB-01"/>
    <x v="3"/>
    <s v="In-store"/>
    <s v="Home"/>
    <s v="Electric Kettle"/>
    <s v="C1032"/>
    <s v="Returning"/>
    <n v="1"/>
    <n v="24000"/>
    <n v="0.05"/>
    <n v="22800"/>
    <n v="15000"/>
    <s v="No"/>
    <s v="Fatima"/>
    <n v="22800"/>
    <n v="0"/>
    <n v="15000"/>
    <n v="7800"/>
  </r>
  <r>
    <n v="100227"/>
    <d v="2026-04-02T00:00:00"/>
    <s v="PH-01"/>
    <x v="4"/>
    <s v="In-store"/>
    <s v="Home"/>
    <s v="Standing Fan"/>
    <s v="C1137"/>
    <s v="Returning"/>
    <n v="2"/>
    <n v="58000"/>
    <n v="0"/>
    <n v="116000"/>
    <n v="39000"/>
    <s v="No"/>
    <s v="Aisha"/>
    <n v="116000"/>
    <n v="0"/>
    <n v="78000"/>
    <n v="38000"/>
  </r>
  <r>
    <n v="100228"/>
    <d v="2026-03-18T00:00:00"/>
    <s v="LG-01"/>
    <x v="1"/>
    <s v="In-store"/>
    <s v="Electronics"/>
    <s v="Earbuds"/>
    <s v="C1059"/>
    <s v="New"/>
    <n v="3"/>
    <n v="32000"/>
    <n v="0.15"/>
    <n v="81600"/>
    <n v="19000"/>
    <s v="No"/>
    <s v="Chinedu"/>
    <n v="81600"/>
    <n v="0"/>
    <n v="57000"/>
    <n v="24600"/>
  </r>
  <r>
    <n v="100229"/>
    <d v="2026-07-09T00:00:00"/>
    <s v="KN-01"/>
    <x v="2"/>
    <s v="Online"/>
    <s v="Home"/>
    <s v="Standing Fan"/>
    <s v="C1126"/>
    <s v="Returning"/>
    <n v="1"/>
    <n v="58000"/>
    <n v="0.1"/>
    <n v="52200"/>
    <n v="39000"/>
    <s v="No"/>
    <s v="Chinedu"/>
    <n v="52200"/>
    <n v="0"/>
    <n v="39000"/>
    <n v="13200"/>
  </r>
  <r>
    <n v="100230"/>
    <d v="2026-04-29T00:00:00"/>
    <s v="KN-01"/>
    <x v="2"/>
    <s v="In-store"/>
    <s v="Electronics"/>
    <s v="Power Bank"/>
    <s v="C1074"/>
    <s v="Returning"/>
    <n v="3"/>
    <n v="26000"/>
    <n v="0.15"/>
    <n v="66300"/>
    <n v="15000"/>
    <s v="No"/>
    <s v="Aisha"/>
    <n v="66300"/>
    <n v="0"/>
    <n v="45000"/>
    <n v="21300"/>
  </r>
  <r>
    <n v="100231"/>
    <d v="2026-03-28T00:00:00"/>
    <s v="AB-01"/>
    <x v="0"/>
    <s v="WhatsApp"/>
    <s v="Electronics"/>
    <s v="Smartphone"/>
    <s v="C1142"/>
    <s v="Returning"/>
    <n v="1"/>
    <n v="165000"/>
    <n v="0.2"/>
    <n v="132000"/>
    <n v="112000"/>
    <s v="No"/>
    <s v="Grace"/>
    <n v="132000"/>
    <n v="0"/>
    <n v="112000"/>
    <n v="20000"/>
  </r>
  <r>
    <n v="100232"/>
    <d v="2026-08-03T00:00:00"/>
    <s v="LG-01"/>
    <x v="1"/>
    <s v="In-store"/>
    <s v="Electronics"/>
    <s v="Smartphone"/>
    <s v="C1059"/>
    <s v="New"/>
    <n v="1"/>
    <n v="165000"/>
    <n v="0.1"/>
    <n v="148500"/>
    <n v="112000"/>
    <s v="Yes"/>
    <s v="David"/>
    <n v="148500"/>
    <n v="0"/>
    <n v="112000"/>
    <n v="36500"/>
  </r>
  <r>
    <n v="100233"/>
    <d v="2026-01-08T00:00:00"/>
    <s v="IB-01"/>
    <x v="3"/>
    <s v="In-store"/>
    <s v="Accessories"/>
    <s v="Phone Case"/>
    <s v="C1097"/>
    <s v="Returning"/>
    <n v="3"/>
    <n v="9000"/>
    <n v="0.15"/>
    <n v="27540"/>
    <n v="3500"/>
    <s v="No"/>
    <s v="David"/>
    <n v="22950"/>
    <n v="4590"/>
    <n v="10500"/>
    <n v="12450"/>
  </r>
  <r>
    <n v="100234"/>
    <d v="2026-01-21T00:00:00"/>
    <s v="KN-01"/>
    <x v="2"/>
    <s v="Online"/>
    <s v="Accessories"/>
    <s v="Phone Case"/>
    <s v="C1091"/>
    <s v="New"/>
    <n v="2"/>
    <n v="9000"/>
    <n v="0.1"/>
    <n v="16200"/>
    <n v="3500"/>
    <s v="No"/>
    <s v="Bola"/>
    <n v="16200"/>
    <n v="0"/>
    <n v="7000"/>
    <n v="9200"/>
  </r>
  <r>
    <n v="100235"/>
    <d v="2026-05-22T00:00:00"/>
    <s v="IB-01"/>
    <x v="3"/>
    <s v="WhatsApp"/>
    <s v="Home"/>
    <s v="Electric Kettle"/>
    <s v="C1064"/>
    <s v="New"/>
    <n v="2"/>
    <n v="24000"/>
    <n v="0.1"/>
    <n v="38880"/>
    <n v="15000"/>
    <s v="No"/>
    <s v="Aisha"/>
    <n v="43200"/>
    <n v="-4320"/>
    <n v="30000"/>
    <n v="13200"/>
  </r>
  <r>
    <n v="100236"/>
    <d v="2026-03-10T00:00:00"/>
    <s v="KN-01"/>
    <x v="2"/>
    <s v="In-store"/>
    <s v="Accessories"/>
    <s v="USB Cable"/>
    <s v="C1021"/>
    <s v="Returning"/>
    <n v="3"/>
    <n v="6500"/>
    <n v="0.1"/>
    <n v="17550"/>
    <n v="2200"/>
    <s v="No"/>
    <s v="Grace"/>
    <n v="17550"/>
    <n v="0"/>
    <n v="6600"/>
    <n v="10950"/>
  </r>
  <r>
    <n v="100237"/>
    <d v="2026-06-13T00:00:00"/>
    <s v="LG-01"/>
    <x v="1"/>
    <s v="In-store"/>
    <s v="Electronics"/>
    <s v="Power Bank"/>
    <s v="C1054"/>
    <s v="New"/>
    <n v="4"/>
    <n v="26000"/>
    <n v="0.1"/>
    <n v="93600"/>
    <n v="15000"/>
    <s v="No"/>
    <s v="Ibrahim"/>
    <n v="93600"/>
    <n v="0"/>
    <n v="60000"/>
    <n v="33600"/>
  </r>
  <r>
    <n v="100238"/>
    <d v="2026-01-11T00:00:00"/>
    <s v="PH-01"/>
    <x v="4"/>
    <s v="Online"/>
    <s v="Home"/>
    <s v="Electric Kettle"/>
    <s v="C1025"/>
    <s v="New"/>
    <n v="2"/>
    <n v="24000"/>
    <n v="0"/>
    <n v="48000"/>
    <n v="15000"/>
    <s v="No"/>
    <s v="Bola"/>
    <n v="48000"/>
    <n v="0"/>
    <n v="30000"/>
    <n v="18000"/>
  </r>
  <r>
    <n v="100239"/>
    <d v="2026-06-14T00:00:00"/>
    <s v="PH-01"/>
    <x v="4"/>
    <s v="WhatsApp"/>
    <s v="Electronics"/>
    <s v="Smartphone"/>
    <s v="C1101"/>
    <s v="Returning"/>
    <n v="1"/>
    <n v="165000"/>
    <n v="0.15"/>
    <n v="140250"/>
    <n v="112000"/>
    <s v="No"/>
    <s v="Chinedu"/>
    <n v="140250"/>
    <n v="0"/>
    <n v="112000"/>
    <n v="28250"/>
  </r>
  <r>
    <n v="100240"/>
    <d v="2026-01-16T00:00:00"/>
    <s v="LG-01"/>
    <x v="1"/>
    <s v="Online"/>
    <s v="Electronics"/>
    <s v="Power Bank"/>
    <s v="C1136"/>
    <s v="New"/>
    <n v="3"/>
    <n v="26000"/>
    <n v="0.15"/>
    <n v="66300"/>
    <n v="15000"/>
    <s v="No"/>
    <s v="Chinedu"/>
    <n v="66300"/>
    <n v="0"/>
    <n v="45000"/>
    <n v="21300"/>
  </r>
  <r>
    <n v="100241"/>
    <d v="2026-03-03T00:00:00"/>
    <s v="LG-02"/>
    <x v="1"/>
    <s v="Online"/>
    <s v="Accessories"/>
    <s v="USB Cable"/>
    <s v="C1023"/>
    <s v="Returning"/>
    <n v="4"/>
    <n v="6500"/>
    <n v="0.1"/>
    <n v="23400"/>
    <n v="2200"/>
    <s v="No"/>
    <s v="Grace"/>
    <n v="23400"/>
    <n v="0"/>
    <n v="8800"/>
    <n v="14600"/>
  </r>
  <r>
    <n v="100242"/>
    <d v="2026-03-09T00:00:00"/>
    <s v="KN-01"/>
    <x v="2"/>
    <s v="In-store"/>
    <s v="Home"/>
    <s v="Electric Kettle"/>
    <s v="C1116"/>
    <s v="New"/>
    <n v="2"/>
    <n v="24000"/>
    <n v="0.1"/>
    <n v="43200"/>
    <n v="15000"/>
    <s v="Yes"/>
    <s v="Kemi"/>
    <n v="43200"/>
    <n v="0"/>
    <n v="30000"/>
    <n v="13200"/>
  </r>
  <r>
    <n v="100243"/>
    <d v="2026-07-16T00:00:00"/>
    <s v="LG-01"/>
    <x v="1"/>
    <s v="Online"/>
    <s v="Home"/>
    <s v="Electric Kettle"/>
    <s v="C1013"/>
    <s v="New"/>
    <n v="5"/>
    <n v="24000"/>
    <n v="0.1"/>
    <n v="108000"/>
    <n v="15000"/>
    <s v="No"/>
    <s v="Fatima"/>
    <n v="108000"/>
    <n v="0"/>
    <n v="75000"/>
    <n v="33000"/>
  </r>
  <r>
    <n v="100244"/>
    <d v="2026-01-29T00:00:00"/>
    <s v="KN-01"/>
    <x v="2"/>
    <s v="WhatsApp"/>
    <s v="Electronics"/>
    <s v="Power Bank"/>
    <s v="C1140"/>
    <s v="Returning"/>
    <n v="3"/>
    <n v="26000"/>
    <n v="0.05"/>
    <n v="74100"/>
    <n v="15000"/>
    <s v="No"/>
    <s v="Kemi"/>
    <n v="74100"/>
    <n v="0"/>
    <n v="45000"/>
    <n v="29100"/>
  </r>
  <r>
    <n v="100245"/>
    <d v="2026-06-26T00:00:00"/>
    <s v="LG-02"/>
    <x v="1"/>
    <s v="Online"/>
    <s v="Accessories"/>
    <s v="Backpack"/>
    <s v="C1071"/>
    <s v="New"/>
    <n v="1"/>
    <n v="28000"/>
    <n v="0.15"/>
    <n v="23800"/>
    <n v="16000"/>
    <s v="No"/>
    <s v="Bola"/>
    <n v="23800"/>
    <n v="0"/>
    <n v="16000"/>
    <n v="7800"/>
  </r>
  <r>
    <n v="100246"/>
    <d v="2026-07-28T00:00:00"/>
    <s v="KN-01"/>
    <x v="2"/>
    <s v="In-store"/>
    <s v="Electronics"/>
    <s v="Smartphone"/>
    <s v="C1045"/>
    <s v="New"/>
    <n v="1"/>
    <n v="165000"/>
    <n v="0.05"/>
    <n v="156750"/>
    <n v="112000"/>
    <s v="No"/>
    <s v="Chinedu"/>
    <n v="156750"/>
    <n v="0"/>
    <n v="112000"/>
    <n v="44750"/>
  </r>
  <r>
    <n v="100247"/>
    <d v="2026-08-03T00:00:00"/>
    <s v="AB-01"/>
    <x v="0"/>
    <s v="In-store"/>
    <s v="Home"/>
    <s v="Electric Kettle"/>
    <s v="C1063"/>
    <s v="Returning"/>
    <n v="2"/>
    <n v="24000"/>
    <n v="0.2"/>
    <n v="38400"/>
    <n v="15000"/>
    <s v="No"/>
    <s v="Grace"/>
    <n v="38400"/>
    <n v="0"/>
    <n v="30000"/>
    <n v="8400"/>
  </r>
  <r>
    <n v="100248"/>
    <d v="2026-07-22T00:00:00"/>
    <s v="LG-01"/>
    <x v="1"/>
    <s v="In-store"/>
    <s v="Accessories"/>
    <s v="USB Cable"/>
    <s v="C1049"/>
    <s v="Returning"/>
    <n v="1"/>
    <n v="6500"/>
    <n v="0.05"/>
    <n v="6175"/>
    <n v="2200"/>
    <s v="No"/>
    <s v="Ibrahim"/>
    <n v="6175"/>
    <n v="0"/>
    <n v="2200"/>
    <n v="3975"/>
  </r>
  <r>
    <n v="100249"/>
    <d v="2026-04-04T00:00:00"/>
    <s v="KN-01"/>
    <x v="2"/>
    <s v="Online"/>
    <s v="Home"/>
    <s v="Blender"/>
    <s v="C1027"/>
    <s v="New"/>
    <n v="2"/>
    <n v="42000"/>
    <n v="0.1"/>
    <n v="75600"/>
    <n v="28000"/>
    <s v="No"/>
    <s v="Bola"/>
    <n v="75600"/>
    <n v="0"/>
    <n v="56000"/>
    <n v="19600"/>
  </r>
  <r>
    <n v="100250"/>
    <d v="2026-04-28T00:00:00"/>
    <s v="IB-01"/>
    <x v="3"/>
    <s v="In-store"/>
    <s v="Electronics"/>
    <s v="Smartphone"/>
    <s v="C1025"/>
    <s v="New"/>
    <n v="4"/>
    <n v="165000"/>
    <n v="0"/>
    <n v="660000"/>
    <n v="112000"/>
    <s v="No"/>
    <s v="Bola"/>
    <n v="660000"/>
    <n v="0"/>
    <n v="448000"/>
    <n v="212000"/>
  </r>
  <r>
    <n v="100251"/>
    <d v="2026-07-23T00:00:00"/>
    <s v="LG-01"/>
    <x v="1"/>
    <s v="In-store"/>
    <s v="Home"/>
    <s v="Blender"/>
    <s v="C1147"/>
    <s v="Returning"/>
    <n v="2"/>
    <n v="42000"/>
    <n v="0"/>
    <n v="84000"/>
    <n v="28000"/>
    <s v="No"/>
    <s v="Bola"/>
    <n v="84000"/>
    <n v="0"/>
    <n v="56000"/>
    <n v="28000"/>
  </r>
  <r>
    <n v="100252"/>
    <d v="2026-07-11T00:00:00"/>
    <s v="KN-01"/>
    <x v="2"/>
    <s v="In-store"/>
    <s v="Electronics"/>
    <s v="Power Bank"/>
    <s v="C1117"/>
    <s v="Returning"/>
    <n v="2"/>
    <n v="26000"/>
    <n v="0"/>
    <n v="52000"/>
    <n v="15000"/>
    <s v="No"/>
    <s v="David"/>
    <n v="52000"/>
    <n v="0"/>
    <n v="30000"/>
    <n v="22000"/>
  </r>
  <r>
    <n v="100253"/>
    <d v="2026-01-02T00:00:00"/>
    <s v="PH-01"/>
    <x v="4"/>
    <s v="WhatsApp"/>
    <s v="Home"/>
    <s v="Standing Fan"/>
    <s v="C1021"/>
    <s v="Returning"/>
    <n v="2"/>
    <n v="58000"/>
    <n v="0.05"/>
    <n v="110200"/>
    <n v="39000"/>
    <s v="No"/>
    <s v="Ibrahim"/>
    <n v="110200"/>
    <n v="0"/>
    <n v="78000"/>
    <n v="32200"/>
  </r>
  <r>
    <n v="100254"/>
    <d v="2026-04-11T00:00:00"/>
    <s v="KN-01"/>
    <x v="2"/>
    <s v="Online"/>
    <s v="Home"/>
    <s v="Standing Fan"/>
    <s v="C1193"/>
    <s v="Returning"/>
    <n v="2"/>
    <n v="58000"/>
    <n v="0.1"/>
    <n v="104400"/>
    <n v="39000"/>
    <s v="No"/>
    <s v="Grace"/>
    <n v="104400"/>
    <n v="0"/>
    <n v="78000"/>
    <n v="26400"/>
  </r>
  <r>
    <n v="100255"/>
    <d v="2026-05-05T00:00:00"/>
    <s v="LG-02"/>
    <x v="1"/>
    <s v="Online"/>
    <s v="Home"/>
    <s v="Electric Kettle"/>
    <s v="C1127"/>
    <s v="New"/>
    <n v="5"/>
    <n v="24000"/>
    <n v="0.15"/>
    <n v="102000"/>
    <n v="15000"/>
    <s v="Yes"/>
    <s v="Kemi"/>
    <n v="102000"/>
    <n v="0"/>
    <n v="75000"/>
    <n v="27000"/>
  </r>
  <r>
    <n v="100256"/>
    <d v="2026-07-23T00:00:00"/>
    <s v="KN-01"/>
    <x v="2"/>
    <s v="In-store"/>
    <s v="Accessories"/>
    <s v="USB Cable"/>
    <s v="C1050"/>
    <s v="New"/>
    <n v="1"/>
    <n v="6500"/>
    <n v="0.05"/>
    <n v="6175"/>
    <n v="2200"/>
    <s v="No"/>
    <s v="Aisha"/>
    <n v="6175"/>
    <n v="0"/>
    <n v="2200"/>
    <n v="3975"/>
  </r>
  <r>
    <n v="100257"/>
    <d v="2026-03-04T00:00:00"/>
    <s v="LG-01"/>
    <x v="1"/>
    <s v="Online"/>
    <s v="Home"/>
    <s v="Standing Fan"/>
    <s v="C1149"/>
    <s v="Returning"/>
    <n v="1"/>
    <n v="58000"/>
    <n v="0.05"/>
    <n v="55100"/>
    <n v="39000"/>
    <s v="No"/>
    <s v="Bola"/>
    <n v="55100"/>
    <n v="0"/>
    <n v="39000"/>
    <n v="16100"/>
  </r>
  <r>
    <n v="100258"/>
    <d v="2026-07-01T00:00:00"/>
    <s v="PH-01"/>
    <x v="4"/>
    <s v="WhatsApp"/>
    <s v="Home"/>
    <s v="Blender"/>
    <s v="C1155"/>
    <s v="New"/>
    <n v="4"/>
    <n v="42000"/>
    <n v="0.15"/>
    <n v="142800"/>
    <n v="28000"/>
    <s v="No"/>
    <s v="Aisha"/>
    <n v="142800"/>
    <n v="0"/>
    <n v="112000"/>
    <n v="30800"/>
  </r>
  <r>
    <n v="100259"/>
    <d v="2026-07-23T00:00:00"/>
    <s v="AB-01"/>
    <x v="0"/>
    <s v="In-store"/>
    <s v="Electronics"/>
    <s v="Smartphone"/>
    <s v="C1033"/>
    <s v="Returning"/>
    <n v="1"/>
    <n v="165000"/>
    <n v="0.25"/>
    <n v="136125"/>
    <n v="112000"/>
    <s v="Yes"/>
    <s v="Grace"/>
    <n v="123750"/>
    <n v="12375"/>
    <n v="112000"/>
    <n v="11750"/>
  </r>
  <r>
    <n v="100260"/>
    <d v="2026-04-14T00:00:00"/>
    <s v="PH-01"/>
    <x v="4"/>
    <s v="WhatsApp"/>
    <s v="Electronics"/>
    <s v="Earbuds"/>
    <s v="C1190"/>
    <s v="Returning"/>
    <n v="2"/>
    <n v="32000"/>
    <n v="0.15"/>
    <n v="54400"/>
    <n v="19000"/>
    <s v="No"/>
    <s v="Ibrahim"/>
    <n v="54400"/>
    <n v="0"/>
    <n v="38000"/>
    <n v="16400"/>
  </r>
  <r>
    <n v="100261"/>
    <d v="2026-03-06T00:00:00"/>
    <s v="AB-02"/>
    <x v="0"/>
    <s v="In-store"/>
    <s v="Electronics"/>
    <s v="Power Bank"/>
    <s v="C1146"/>
    <s v="New"/>
    <n v="4"/>
    <n v="26000"/>
    <n v="0"/>
    <n v="104000"/>
    <n v="15000"/>
    <s v="No"/>
    <s v="Chinedu"/>
    <n v="104000"/>
    <n v="0"/>
    <n v="60000"/>
    <n v="44000"/>
  </r>
  <r>
    <n v="100262"/>
    <d v="2026-02-10T00:00:00"/>
    <s v="IB-01"/>
    <x v="3"/>
    <s v="Online"/>
    <s v="Home"/>
    <s v="Electric Kettle"/>
    <s v="C1044"/>
    <s v="New"/>
    <n v="4"/>
    <n v="24000"/>
    <n v="0.05"/>
    <n v="91200"/>
    <n v="15000"/>
    <s v="No"/>
    <s v="Bola"/>
    <n v="91200"/>
    <n v="0"/>
    <n v="60000"/>
    <n v="31200"/>
  </r>
  <r>
    <n v="100263"/>
    <d v="2026-01-22T00:00:00"/>
    <s v="AB-02"/>
    <x v="0"/>
    <s v="In-store"/>
    <s v="Accessories"/>
    <s v="Phone Case"/>
    <s v="C1032"/>
    <s v="New"/>
    <n v="5"/>
    <n v="9000"/>
    <n v="0.25"/>
    <n v="33750"/>
    <n v="3500"/>
    <s v="No"/>
    <s v="David"/>
    <n v="33750"/>
    <n v="0"/>
    <n v="17500"/>
    <n v="16250"/>
  </r>
  <r>
    <n v="100264"/>
    <d v="2026-04-05T00:00:00"/>
    <s v="KN-01"/>
    <x v="2"/>
    <s v="In-store"/>
    <s v="Home"/>
    <s v="Blender"/>
    <s v="C1058"/>
    <s v="Returning"/>
    <n v="1"/>
    <n v="42000"/>
    <n v="0.05"/>
    <n v="39900"/>
    <n v="28000"/>
    <s v="No"/>
    <s v="David"/>
    <n v="39900"/>
    <n v="0"/>
    <n v="28000"/>
    <n v="11900"/>
  </r>
  <r>
    <n v="100265"/>
    <d v="2026-01-31T00:00:00"/>
    <s v="PH-01"/>
    <x v="4"/>
    <s v="In-store"/>
    <s v="Electronics"/>
    <s v="Earbuds"/>
    <s v="C1087"/>
    <s v="Returning"/>
    <n v="2"/>
    <n v="32000"/>
    <n v="0"/>
    <n v="64000"/>
    <n v="19000"/>
    <s v="No"/>
    <s v="Chinedu"/>
    <n v="64000"/>
    <n v="0"/>
    <n v="38000"/>
    <n v="26000"/>
  </r>
  <r>
    <n v="100266"/>
    <d v="2026-06-15T00:00:00"/>
    <s v="KN-01"/>
    <x v="2"/>
    <s v="WhatsApp"/>
    <s v="Home"/>
    <s v="Electric Kettle"/>
    <s v="C1055"/>
    <s v="New"/>
    <n v="4"/>
    <n v="24000"/>
    <n v="0"/>
    <n v="96000"/>
    <n v="15000"/>
    <s v="No"/>
    <s v="Ibrahim"/>
    <n v="96000"/>
    <n v="0"/>
    <n v="60000"/>
    <n v="36000"/>
  </r>
  <r>
    <n v="100267"/>
    <d v="2026-05-01T00:00:00"/>
    <s v="PH-01"/>
    <x v="4"/>
    <s v="In-store"/>
    <s v="Electronics"/>
    <s v="Power Bank"/>
    <s v="C1013"/>
    <s v="Returning"/>
    <n v="1"/>
    <n v="26000"/>
    <n v="0.05"/>
    <n v="24700"/>
    <n v="15000"/>
    <s v="No"/>
    <s v="Fatima"/>
    <n v="24700"/>
    <n v="0"/>
    <n v="15000"/>
    <n v="9700"/>
  </r>
  <r>
    <n v="100268"/>
    <d v="2026-03-01T00:00:00"/>
    <s v="LG-02"/>
    <x v="1"/>
    <s v="Online"/>
    <s v="Home"/>
    <s v="Standing Fan"/>
    <s v="C1078"/>
    <s v="Returning"/>
    <n v="2"/>
    <n v="58000"/>
    <n v="0"/>
    <n v="116000"/>
    <n v="39000"/>
    <s v="No"/>
    <s v="Ibrahim"/>
    <n v="116000"/>
    <n v="0"/>
    <n v="78000"/>
    <n v="38000"/>
  </r>
  <r>
    <n v="100269"/>
    <d v="2026-04-07T00:00:00"/>
    <s v="AB-01"/>
    <x v="0"/>
    <s v="WhatsApp"/>
    <s v="Electronics"/>
    <s v="Power Bank"/>
    <s v="C1194"/>
    <s v="Returning"/>
    <n v="5"/>
    <n v="26000"/>
    <n v="0.15"/>
    <n v="110500"/>
    <n v="15000"/>
    <s v="No"/>
    <s v="Kemi"/>
    <n v="110500"/>
    <n v="0"/>
    <n v="75000"/>
    <n v="35500"/>
  </r>
  <r>
    <n v="100270"/>
    <d v="2026-06-16T00:00:00"/>
    <s v="PH-01"/>
    <x v="4"/>
    <s v="Online"/>
    <s v="Accessories"/>
    <s v="Backpack"/>
    <s v="C1182"/>
    <s v="Returning"/>
    <n v="4"/>
    <n v="28000"/>
    <n v="0"/>
    <n v="112000"/>
    <n v="16000"/>
    <s v="No"/>
    <s v="Grace"/>
    <n v="112000"/>
    <n v="0"/>
    <n v="64000"/>
    <n v="48000"/>
  </r>
  <r>
    <n v="100271"/>
    <d v="2026-04-25T00:00:00"/>
    <s v="IB-01"/>
    <x v="3"/>
    <s v="Online"/>
    <s v="Electronics"/>
    <s v="Smartphone"/>
    <s v="C1149"/>
    <s v="New"/>
    <n v="1"/>
    <n v="165000"/>
    <n v="0"/>
    <n v="165000"/>
    <n v="112000"/>
    <s v="No"/>
    <s v="Chinedu"/>
    <n v="165000"/>
    <n v="0"/>
    <n v="112000"/>
    <n v="53000"/>
  </r>
  <r>
    <n v="100272"/>
    <d v="2026-03-19T00:00:00"/>
    <s v="LG-02"/>
    <x v="1"/>
    <s v="In-store"/>
    <s v="Home"/>
    <s v="Blender"/>
    <s v="C1078"/>
    <s v="Returning"/>
    <n v="1"/>
    <n v="42000"/>
    <n v="0"/>
    <n v="42000"/>
    <n v="28000"/>
    <s v="No"/>
    <s v="Fatima"/>
    <n v="42000"/>
    <n v="0"/>
    <n v="28000"/>
    <n v="14000"/>
  </r>
  <r>
    <n v="100273"/>
    <d v="2026-01-15T00:00:00"/>
    <s v="IB-01"/>
    <x v="3"/>
    <s v="Online"/>
    <s v="Electronics"/>
    <s v="Smartphone"/>
    <s v="C1053"/>
    <s v="New"/>
    <n v="2"/>
    <n v="165000"/>
    <n v="0.05"/>
    <n v="313500"/>
    <n v="112000"/>
    <s v="No"/>
    <s v="Bola"/>
    <n v="313500"/>
    <n v="0"/>
    <n v="224000"/>
    <n v="89500"/>
  </r>
  <r>
    <n v="100274"/>
    <d v="2026-08-26T00:00:00"/>
    <s v="PH-01"/>
    <x v="4"/>
    <s v="Online"/>
    <s v="Accessories"/>
    <s v="Backpack"/>
    <s v="C1091"/>
    <s v="Returning"/>
    <n v="3"/>
    <n v="28000"/>
    <n v="0"/>
    <n v="84000"/>
    <n v="16000"/>
    <s v="No"/>
    <s v="Fatima"/>
    <n v="84000"/>
    <n v="0"/>
    <n v="48000"/>
    <n v="36000"/>
  </r>
  <r>
    <n v="100275"/>
    <d v="2026-05-14T00:00:00"/>
    <s v="LG-01"/>
    <x v="1"/>
    <s v="Online"/>
    <s v="Electronics"/>
    <s v="Power Bank"/>
    <s v="C1135"/>
    <s v="New"/>
    <n v="22"/>
    <n v="26000"/>
    <n v="0.05"/>
    <n v="543400"/>
    <n v="15000"/>
    <s v="No"/>
    <s v="David"/>
    <n v="543400"/>
    <n v="0"/>
    <n v="330000"/>
    <n v="213400"/>
  </r>
  <r>
    <n v="100276"/>
    <d v="2026-06-22T00:00:00"/>
    <s v="LG-02"/>
    <x v="1"/>
    <s v="Online"/>
    <s v="Home"/>
    <s v="Electric Kettle"/>
    <s v="C1016"/>
    <s v="New"/>
    <n v="2"/>
    <n v="24000"/>
    <n v="0.1"/>
    <n v="43200"/>
    <n v="15000"/>
    <s v="No"/>
    <s v="David"/>
    <n v="43200"/>
    <n v="0"/>
    <n v="30000"/>
    <n v="13200"/>
  </r>
  <r>
    <n v="100277"/>
    <d v="2026-07-28T00:00:00"/>
    <s v="LG-01"/>
    <x v="1"/>
    <s v="In-store"/>
    <s v="Electronics"/>
    <s v="Power Bank"/>
    <s v="C1038"/>
    <s v="New"/>
    <n v="22"/>
    <n v="26000"/>
    <n v="0"/>
    <n v="572000"/>
    <n v="15000"/>
    <s v="No"/>
    <s v="Grace"/>
    <n v="572000"/>
    <n v="0"/>
    <n v="330000"/>
    <n v="242000"/>
  </r>
  <r>
    <n v="100278"/>
    <d v="2026-06-27T00:00:00"/>
    <s v="LG-01"/>
    <x v="1"/>
    <s v="In-store"/>
    <s v="Electronics"/>
    <s v="Power Bank"/>
    <s v="C1144"/>
    <s v="New"/>
    <n v="3"/>
    <n v="26000"/>
    <n v="0.1"/>
    <n v="56160"/>
    <n v="15000"/>
    <s v="No"/>
    <s v="Fatima"/>
    <n v="70200"/>
    <n v="-14040"/>
    <n v="45000"/>
    <n v="25200"/>
  </r>
  <r>
    <n v="100279"/>
    <d v="2026-02-21T00:00:00"/>
    <s v="AB-02"/>
    <x v="0"/>
    <s v="Online"/>
    <s v="Accessories"/>
    <s v="USB Cable"/>
    <s v="C1082"/>
    <s v="Returning"/>
    <n v="4"/>
    <n v="6500"/>
    <n v="0.15"/>
    <n v="22100"/>
    <n v="2200"/>
    <s v="No"/>
    <s v="Ibrahim"/>
    <n v="22100"/>
    <n v="0"/>
    <n v="8800"/>
    <n v="13300"/>
  </r>
  <r>
    <n v="100280"/>
    <d v="2026-06-16T00:00:00"/>
    <s v="LG-01"/>
    <x v="1"/>
    <s v="WhatsApp"/>
    <s v="Electronics"/>
    <s v="Earbuds"/>
    <s v="C1041"/>
    <s v="Returning"/>
    <n v="1"/>
    <n v="32000"/>
    <n v="0.05"/>
    <n v="30400"/>
    <n v="19000"/>
    <s v="No"/>
    <s v="Grace"/>
    <n v="30400"/>
    <n v="0"/>
    <n v="19000"/>
    <n v="11400"/>
  </r>
  <r>
    <n v="100281"/>
    <d v="2026-05-15T00:00:00"/>
    <s v="LG-01"/>
    <x v="1"/>
    <s v="WhatsApp"/>
    <s v="Electronics"/>
    <s v="Power Bank"/>
    <s v="C1035"/>
    <s v="New"/>
    <n v="1"/>
    <n v="26000"/>
    <n v="0.15"/>
    <n v="22100"/>
    <n v="15000"/>
    <s v="No"/>
    <s v="Bola"/>
    <n v="22100"/>
    <n v="0"/>
    <n v="15000"/>
    <n v="7100"/>
  </r>
  <r>
    <n v="100282"/>
    <d v="2026-05-07T00:00:00"/>
    <s v="LG-01"/>
    <x v="1"/>
    <s v="In-store"/>
    <s v="Electronics"/>
    <s v="Power Bank"/>
    <s v="C1159"/>
    <s v="Returning"/>
    <n v="2"/>
    <n v="26000"/>
    <n v="0.05"/>
    <n v="49400"/>
    <n v="15000"/>
    <s v="No"/>
    <s v="Kemi"/>
    <n v="49400"/>
    <n v="0"/>
    <n v="30000"/>
    <n v="19400"/>
  </r>
  <r>
    <n v="100283"/>
    <d v="2026-08-26T00:00:00"/>
    <s v="LG-01"/>
    <x v="1"/>
    <s v="In-store"/>
    <s v="Home"/>
    <s v="Standing Fan"/>
    <s v="C1108"/>
    <s v="Returning"/>
    <n v="1"/>
    <n v="58000"/>
    <n v="0.05"/>
    <n v="55100"/>
    <n v="39000"/>
    <s v="No"/>
    <s v="Bola"/>
    <n v="55100"/>
    <n v="0"/>
    <n v="39000"/>
    <n v="16100"/>
  </r>
  <r>
    <n v="100284"/>
    <d v="2026-08-11T00:00:00"/>
    <s v="AB-02"/>
    <x v="0"/>
    <s v="In-store"/>
    <s v="Home"/>
    <s v="Electric Kettle"/>
    <s v="C1115"/>
    <s v="New"/>
    <n v="4"/>
    <n v="24000"/>
    <n v="0.1"/>
    <n v="95040"/>
    <n v="15000"/>
    <s v="No"/>
    <s v="Fatima"/>
    <n v="86400"/>
    <n v="8640"/>
    <n v="60000"/>
    <n v="26400"/>
  </r>
  <r>
    <n v="100285"/>
    <d v="2026-07-18T00:00:00"/>
    <s v="KN-01"/>
    <x v="2"/>
    <s v="Online"/>
    <s v="Home"/>
    <s v="Electric Kettle"/>
    <s v="C1172"/>
    <s v="Returning"/>
    <n v="1"/>
    <n v="24000"/>
    <n v="0.05"/>
    <n v="22800"/>
    <n v="15000"/>
    <s v="No"/>
    <s v="David"/>
    <n v="22800"/>
    <n v="0"/>
    <n v="15000"/>
    <n v="7800"/>
  </r>
  <r>
    <n v="100286"/>
    <d v="2026-03-16T00:00:00"/>
    <s v="KN-01"/>
    <x v="2"/>
    <s v="Online"/>
    <s v="Accessories"/>
    <s v="Phone Case"/>
    <s v="C1130"/>
    <s v="Returning"/>
    <n v="1"/>
    <n v="9000"/>
    <n v="0.1"/>
    <n v="8100"/>
    <n v="3500"/>
    <s v="No"/>
    <s v="Aisha"/>
    <n v="8100"/>
    <n v="0"/>
    <n v="3500"/>
    <n v="4600"/>
  </r>
  <r>
    <n v="100287"/>
    <d v="2026-02-25T00:00:00"/>
    <s v="PH-01"/>
    <x v="4"/>
    <s v="Online"/>
    <s v="Electronics"/>
    <s v="Earbuds"/>
    <s v="C1114"/>
    <s v="New"/>
    <n v="3"/>
    <n v="32000"/>
    <n v="0.05"/>
    <n v="91200"/>
    <n v="19000"/>
    <s v="No"/>
    <s v="Grace"/>
    <n v="91200"/>
    <n v="0"/>
    <n v="57000"/>
    <n v="34200"/>
  </r>
  <r>
    <n v="100288"/>
    <d v="2026-06-04T00:00:00"/>
    <s v="IB-01"/>
    <x v="3"/>
    <s v="In-store"/>
    <s v="Electronics"/>
    <s v="Power Bank"/>
    <s v="C1062"/>
    <s v="Returning"/>
    <n v="1"/>
    <n v="26000"/>
    <n v="0.05"/>
    <n v="24700"/>
    <n v="15000"/>
    <s v="No"/>
    <s v="Chinedu"/>
    <n v="24700"/>
    <n v="0"/>
    <n v="15000"/>
    <n v="9700"/>
  </r>
  <r>
    <n v="100289"/>
    <d v="2026-07-21T00:00:00"/>
    <s v="LG-01"/>
    <x v="1"/>
    <s v="In-store"/>
    <s v="Electronics"/>
    <s v="Earbuds"/>
    <s v="C1057"/>
    <s v="New"/>
    <n v="3"/>
    <n v="32000"/>
    <n v="0.1"/>
    <n v="86400"/>
    <n v="19000"/>
    <s v="No"/>
    <s v="David"/>
    <n v="86400"/>
    <n v="0"/>
    <n v="57000"/>
    <n v="29400"/>
  </r>
  <r>
    <n v="100290"/>
    <d v="2026-04-04T00:00:00"/>
    <s v="LG-01"/>
    <x v="1"/>
    <s v="In-store"/>
    <s v="Electronics"/>
    <s v="Earbuds"/>
    <s v="C1083"/>
    <s v="Returning"/>
    <n v="5"/>
    <n v="32000"/>
    <n v="0.15"/>
    <n v="136000"/>
    <n v="19000"/>
    <s v="No"/>
    <s v="Ibrahim"/>
    <n v="136000"/>
    <n v="0"/>
    <n v="95000"/>
    <n v="41000"/>
  </r>
  <r>
    <n v="100291"/>
    <d v="2026-03-29T00:00:00"/>
    <s v="IB-01"/>
    <x v="3"/>
    <s v="In-store"/>
    <s v="Electronics"/>
    <s v="Earbuds"/>
    <s v="C1073"/>
    <s v="Returning"/>
    <n v="1"/>
    <n v="32000"/>
    <n v="0.1"/>
    <n v="28800"/>
    <n v="19000"/>
    <s v="No"/>
    <s v="Fatima"/>
    <n v="28800"/>
    <n v="0"/>
    <n v="19000"/>
    <n v="9800"/>
  </r>
  <r>
    <n v="100292"/>
    <d v="2026-04-18T00:00:00"/>
    <s v="LG-02"/>
    <x v="1"/>
    <s v="WhatsApp"/>
    <s v="Electronics"/>
    <s v="Smartphone"/>
    <s v="C1138"/>
    <s v="Returning"/>
    <n v="1"/>
    <n v="165000"/>
    <n v="0.15"/>
    <n v="140250"/>
    <n v="112000"/>
    <s v="No"/>
    <s v="Ibrahim"/>
    <n v="140250"/>
    <n v="0"/>
    <n v="112000"/>
    <n v="28250"/>
  </r>
  <r>
    <n v="100293"/>
    <d v="2026-04-10T00:00:00"/>
    <s v="PH-01"/>
    <x v="4"/>
    <s v="WhatsApp"/>
    <s v="Accessories"/>
    <s v="Backpack"/>
    <s v="C1150"/>
    <s v="New"/>
    <n v="2"/>
    <n v="28000"/>
    <n v="0"/>
    <n v="56000"/>
    <n v="16000"/>
    <s v="No"/>
    <s v="Bola"/>
    <n v="56000"/>
    <n v="0"/>
    <n v="32000"/>
    <n v="24000"/>
  </r>
  <r>
    <n v="100294"/>
    <d v="2026-07-20T00:00:00"/>
    <s v="IB-01"/>
    <x v="3"/>
    <s v="In-store"/>
    <s v="Electronics"/>
    <s v="Power Bank"/>
    <s v="C1041"/>
    <s v="New"/>
    <n v="3"/>
    <n v="26000"/>
    <n v="0.1"/>
    <n v="63180"/>
    <n v="15000"/>
    <s v="No"/>
    <s v="Fatima"/>
    <n v="70200"/>
    <n v="-7020"/>
    <n v="45000"/>
    <n v="25200"/>
  </r>
  <r>
    <n v="100295"/>
    <d v="2026-02-13T00:00:00"/>
    <s v="IB-01"/>
    <x v="3"/>
    <s v="WhatsApp"/>
    <s v="Electronics"/>
    <s v="Earbuds"/>
    <s v="C1010"/>
    <s v="New"/>
    <n v="1"/>
    <n v="32000"/>
    <n v="0.15"/>
    <n v="27200"/>
    <n v="19000"/>
    <s v="Yes"/>
    <s v="Kemi"/>
    <n v="27200"/>
    <n v="0"/>
    <n v="19000"/>
    <n v="8200"/>
  </r>
  <r>
    <n v="100296"/>
    <d v="2026-04-26T00:00:00"/>
    <s v="IB-01"/>
    <x v="3"/>
    <s v="WhatsApp"/>
    <s v="Electronics"/>
    <s v="Earbuds"/>
    <s v="C1170"/>
    <s v="New"/>
    <n v="2"/>
    <n v="32000"/>
    <n v="0.05"/>
    <n v="72960"/>
    <n v="19000"/>
    <s v="Yes"/>
    <s v="Bola"/>
    <n v="60800"/>
    <n v="12160"/>
    <n v="38000"/>
    <n v="22800"/>
  </r>
  <r>
    <n v="100297"/>
    <d v="2026-01-16T00:00:00"/>
    <s v="IB-01"/>
    <x v="3"/>
    <s v="Online"/>
    <s v="Home"/>
    <s v="Standing Fan"/>
    <s v="C1082"/>
    <s v="New"/>
    <n v="1"/>
    <n v="58000"/>
    <n v="0"/>
    <n v="58000"/>
    <n v="39000"/>
    <s v="No"/>
    <s v="Chinedu"/>
    <n v="58000"/>
    <n v="0"/>
    <n v="39000"/>
    <n v="19000"/>
  </r>
  <r>
    <n v="100298"/>
    <d v="2026-02-01T00:00:00"/>
    <s v="LG-02"/>
    <x v="1"/>
    <s v="Online"/>
    <s v="Electronics"/>
    <s v="Power Bank"/>
    <s v="C1162"/>
    <s v="Returning"/>
    <n v="4"/>
    <n v="26000"/>
    <n v="0.1"/>
    <n v="93600"/>
    <n v="15000"/>
    <s v="No"/>
    <s v="Fatima"/>
    <n v="93600"/>
    <n v="0"/>
    <n v="60000"/>
    <n v="33600"/>
  </r>
  <r>
    <n v="100299"/>
    <d v="2026-07-06T00:00:00"/>
    <s v="LG-01"/>
    <x v="1"/>
    <s v="In-store"/>
    <s v="Accessories"/>
    <s v="Backpack"/>
    <s v="C1110"/>
    <s v="Returning"/>
    <n v="2"/>
    <n v="28000"/>
    <n v="0.1"/>
    <n v="50400"/>
    <n v="16000"/>
    <s v="No"/>
    <s v="Kemi"/>
    <n v="50400"/>
    <n v="0"/>
    <n v="32000"/>
    <n v="18400"/>
  </r>
  <r>
    <n v="100300"/>
    <d v="2026-01-06T00:00:00"/>
    <s v="PH-01"/>
    <x v="4"/>
    <s v="WhatsApp"/>
    <s v="Accessories"/>
    <s v="USB Cable"/>
    <s v="C1033"/>
    <s v="New"/>
    <n v="4"/>
    <n v="6500"/>
    <n v="0.1"/>
    <n v="23400"/>
    <n v="2200"/>
    <s v="No"/>
    <s v="Kemi"/>
    <n v="23400"/>
    <n v="0"/>
    <n v="8800"/>
    <n v="14600"/>
  </r>
  <r>
    <n v="100301"/>
    <d v="2026-03-06T00:00:00"/>
    <s v="LG-02"/>
    <x v="1"/>
    <s v="In-store"/>
    <s v="Electronics"/>
    <s v="Power Bank"/>
    <s v="C1169"/>
    <s v="Returning"/>
    <n v="5"/>
    <n v="26000"/>
    <n v="0.05"/>
    <n v="98800"/>
    <n v="15000"/>
    <s v="Yes"/>
    <s v="Aisha"/>
    <n v="123500"/>
    <n v="-24700"/>
    <n v="75000"/>
    <n v="48500"/>
  </r>
  <r>
    <n v="100302"/>
    <d v="2026-02-28T00:00:00"/>
    <s v="LG-02"/>
    <x v="1"/>
    <s v="In-store"/>
    <s v="Accessories"/>
    <s v="Backpack"/>
    <s v="C1179"/>
    <s v="Returning"/>
    <n v="4"/>
    <n v="28000"/>
    <n v="0"/>
    <n v="112000"/>
    <n v="16000"/>
    <s v="No"/>
    <s v="Bola"/>
    <n v="112000"/>
    <n v="0"/>
    <n v="64000"/>
    <n v="48000"/>
  </r>
  <r>
    <n v="100303"/>
    <d v="2026-02-16T00:00:00"/>
    <s v="IB-01"/>
    <x v="3"/>
    <s v="In-store"/>
    <s v="Accessories"/>
    <s v="Phone Case"/>
    <s v="C1032"/>
    <s v="Returning"/>
    <n v="2"/>
    <n v="9000"/>
    <n v="0.1"/>
    <n v="16200"/>
    <n v="3500"/>
    <s v="No"/>
    <s v="Ibrahim"/>
    <n v="16200"/>
    <n v="0"/>
    <n v="7000"/>
    <n v="9200"/>
  </r>
  <r>
    <n v="100304"/>
    <d v="2026-07-01T00:00:00"/>
    <s v="KN-01"/>
    <x v="2"/>
    <s v="WhatsApp"/>
    <s v="Home"/>
    <s v="Standing Fan"/>
    <s v="C1090"/>
    <s v="New"/>
    <n v="5"/>
    <n v="58000"/>
    <n v="0.1"/>
    <n v="261000"/>
    <n v="39000"/>
    <s v="No"/>
    <s v="Bola"/>
    <n v="261000"/>
    <n v="0"/>
    <n v="195000"/>
    <n v="66000"/>
  </r>
  <r>
    <n v="100305"/>
    <d v="2026-01-10T00:00:00"/>
    <s v="LG-01"/>
    <x v="1"/>
    <s v="Online"/>
    <s v="Electronics"/>
    <s v="Earbuds"/>
    <s v="C1105"/>
    <s v="Returning"/>
    <n v="2"/>
    <n v="32000"/>
    <n v="0.05"/>
    <n v="60800"/>
    <n v="19000"/>
    <s v="No"/>
    <s v="Grace"/>
    <n v="60800"/>
    <n v="0"/>
    <n v="38000"/>
    <n v="22800"/>
  </r>
  <r>
    <n v="100306"/>
    <d v="2026-03-14T00:00:00"/>
    <s v="PH-01"/>
    <x v="4"/>
    <s v="In-store"/>
    <s v="Accessories"/>
    <s v="Phone Case"/>
    <s v="C1162"/>
    <s v="New"/>
    <n v="1"/>
    <n v="9000"/>
    <n v="0.15"/>
    <n v="7650"/>
    <n v="3500"/>
    <s v="No"/>
    <s v="Aisha"/>
    <n v="7650"/>
    <n v="0"/>
    <n v="3500"/>
    <n v="4150"/>
  </r>
  <r>
    <n v="100307"/>
    <d v="2026-06-28T00:00:00"/>
    <s v="IB-01"/>
    <x v="3"/>
    <s v="Online"/>
    <s v="Electronics"/>
    <s v="Power Bank"/>
    <s v="C1099"/>
    <s v="New"/>
    <n v="3"/>
    <n v="26000"/>
    <n v="0"/>
    <n v="78000"/>
    <n v="15000"/>
    <s v="No"/>
    <s v="Ibrahim"/>
    <n v="78000"/>
    <n v="0"/>
    <n v="45000"/>
    <n v="33000"/>
  </r>
  <r>
    <n v="100308"/>
    <d v="2026-08-04T00:00:00"/>
    <s v="LG-02"/>
    <x v="1"/>
    <s v="Online"/>
    <s v="Home"/>
    <s v="Blender"/>
    <s v="C1088"/>
    <s v="Returning"/>
    <n v="1"/>
    <n v="42000"/>
    <n v="0.05"/>
    <n v="39900"/>
    <n v="28000"/>
    <s v="No"/>
    <s v="Aisha"/>
    <n v="39900"/>
    <n v="0"/>
    <n v="28000"/>
    <n v="11900"/>
  </r>
  <r>
    <n v="100309"/>
    <d v="2026-05-12T00:00:00"/>
    <s v="LG-02"/>
    <x v="1"/>
    <s v="In-store"/>
    <s v="Accessories"/>
    <s v="USB Cable"/>
    <s v="C1093"/>
    <s v="New"/>
    <n v="3"/>
    <n v="6500"/>
    <n v="0.15"/>
    <n v="16575"/>
    <n v="2200"/>
    <s v="No"/>
    <s v="Ibrahim"/>
    <n v="16575"/>
    <n v="0"/>
    <n v="6600"/>
    <n v="9975"/>
  </r>
  <r>
    <n v="100310"/>
    <d v="2026-03-04T00:00:00"/>
    <s v="LG-01"/>
    <x v="1"/>
    <s v="Online"/>
    <s v="Electronics"/>
    <s v="Earbuds"/>
    <s v="C1022"/>
    <s v="New"/>
    <n v="4"/>
    <n v="32000"/>
    <n v="0.1"/>
    <n v="115200"/>
    <n v="19000"/>
    <s v="No"/>
    <s v="Ibrahim"/>
    <n v="115200"/>
    <n v="0"/>
    <n v="76000"/>
    <n v="39200"/>
  </r>
  <r>
    <n v="100311"/>
    <d v="2026-06-02T00:00:00"/>
    <s v="AB-01"/>
    <x v="0"/>
    <s v="Online"/>
    <s v="Accessories"/>
    <s v="USB Cable"/>
    <s v="C1143"/>
    <s v="Returning"/>
    <n v="1"/>
    <n v="6500"/>
    <n v="0.05"/>
    <n v="6175"/>
    <n v="2200"/>
    <s v="No"/>
    <s v="Aisha"/>
    <n v="6175"/>
    <n v="0"/>
    <n v="2200"/>
    <n v="3975"/>
  </r>
  <r>
    <n v="100312"/>
    <d v="2026-02-27T00:00:00"/>
    <s v="LG-02"/>
    <x v="1"/>
    <s v="In-store"/>
    <s v="Electronics"/>
    <s v="Earbuds"/>
    <s v="C1007"/>
    <s v="New"/>
    <n v="3"/>
    <n v="32000"/>
    <n v="0.15"/>
    <n v="81600"/>
    <n v="19000"/>
    <s v="No"/>
    <s v="Kemi"/>
    <n v="81600"/>
    <n v="0"/>
    <n v="57000"/>
    <n v="24600"/>
  </r>
  <r>
    <n v="100313"/>
    <d v="2026-08-07T00:00:00"/>
    <s v="LG-01"/>
    <x v="1"/>
    <s v="In-store"/>
    <s v="Accessories"/>
    <s v="USB Cable"/>
    <s v="C1078"/>
    <s v="Returning"/>
    <n v="1"/>
    <n v="6500"/>
    <n v="0.05"/>
    <n v="6175"/>
    <n v="2200"/>
    <s v="No"/>
    <s v="David"/>
    <n v="6175"/>
    <n v="0"/>
    <n v="2200"/>
    <n v="3975"/>
  </r>
  <r>
    <n v="100314"/>
    <d v="2026-03-25T00:00:00"/>
    <s v="LG-02"/>
    <x v="1"/>
    <s v="In-store"/>
    <s v="Electronics"/>
    <s v="Smartphone"/>
    <s v="C1167"/>
    <s v="Returning"/>
    <n v="1"/>
    <n v="165000"/>
    <n v="0.1"/>
    <n v="148500"/>
    <n v="112000"/>
    <s v="No"/>
    <s v="Grace"/>
    <n v="148500"/>
    <n v="0"/>
    <n v="112000"/>
    <n v="36500"/>
  </r>
  <r>
    <n v="100315"/>
    <d v="2026-04-06T00:00:00"/>
    <s v="LG-02"/>
    <x v="1"/>
    <s v="WhatsApp"/>
    <s v="Electronics"/>
    <s v="Power Bank"/>
    <s v="C1178"/>
    <s v="Returning"/>
    <n v="1"/>
    <n v="26000"/>
    <n v="0"/>
    <n v="26000"/>
    <n v="15000"/>
    <s v="No"/>
    <s v="Chinedu"/>
    <n v="26000"/>
    <n v="0"/>
    <n v="15000"/>
    <n v="11000"/>
  </r>
  <r>
    <n v="100316"/>
    <d v="2026-05-12T00:00:00"/>
    <s v="KN-01"/>
    <x v="2"/>
    <s v="Online"/>
    <s v="Electronics"/>
    <s v="Earbuds"/>
    <s v="C1100"/>
    <s v="New"/>
    <n v="5"/>
    <n v="32000"/>
    <n v="0"/>
    <n v="160000"/>
    <n v="19000"/>
    <s v="No"/>
    <s v="Chinedu"/>
    <n v="160000"/>
    <n v="0"/>
    <n v="95000"/>
    <n v="65000"/>
  </r>
  <r>
    <n v="100317"/>
    <d v="2026-07-09T00:00:00"/>
    <s v="IB-01"/>
    <x v="3"/>
    <s v="In-store"/>
    <s v="Home"/>
    <s v="Electric Kettle"/>
    <s v="C1099"/>
    <s v="Returning"/>
    <n v="1"/>
    <n v="24000"/>
    <n v="0.05"/>
    <n v="22800"/>
    <n v="15000"/>
    <s v="No"/>
    <s v="Kemi"/>
    <n v="22800"/>
    <n v="0"/>
    <n v="15000"/>
    <n v="7800"/>
  </r>
  <r>
    <n v="100318"/>
    <d v="2026-06-06T00:00:00"/>
    <s v="KN-01"/>
    <x v="2"/>
    <s v="In-store"/>
    <s v="Home"/>
    <s v="Standing Fan"/>
    <s v="C1070"/>
    <s v="Returning"/>
    <n v="2"/>
    <n v="58000"/>
    <n v="0.05"/>
    <n v="110200"/>
    <n v="39000"/>
    <s v="No"/>
    <s v="Grace"/>
    <n v="110200"/>
    <n v="0"/>
    <n v="78000"/>
    <n v="32200"/>
  </r>
  <r>
    <n v="100319"/>
    <d v="2026-01-18T00:00:00"/>
    <s v="AB-02"/>
    <x v="0"/>
    <s v="In-store"/>
    <s v="Accessories"/>
    <s v="Backpack"/>
    <s v="C1108"/>
    <s v="New"/>
    <n v="4"/>
    <n v="28000"/>
    <n v="0.15"/>
    <n v="95200"/>
    <n v="16000"/>
    <s v="No"/>
    <s v="David"/>
    <n v="95200"/>
    <n v="0"/>
    <n v="64000"/>
    <n v="31200"/>
  </r>
  <r>
    <n v="100320"/>
    <d v="2026-03-12T00:00:00"/>
    <s v="AB-01"/>
    <x v="0"/>
    <s v="In-store"/>
    <s v="Electronics"/>
    <s v="Earbuds"/>
    <s v="C1123"/>
    <s v="Returning"/>
    <n v="2"/>
    <n v="32000"/>
    <n v="0.2"/>
    <n v="51200"/>
    <n v="19000"/>
    <s v="No"/>
    <s v="Fatima"/>
    <n v="51200"/>
    <n v="0"/>
    <n v="38000"/>
    <n v="13200"/>
  </r>
  <r>
    <n v="100321"/>
    <d v="2026-03-03T00:00:00"/>
    <s v="LG-01"/>
    <x v="1"/>
    <s v="In-store"/>
    <s v="Electronics"/>
    <s v="Smartphone"/>
    <s v="C1106"/>
    <s v="Returning"/>
    <n v="2"/>
    <n v="165000"/>
    <n v="0"/>
    <n v="330000"/>
    <n v="112000"/>
    <s v="No"/>
    <s v="Kemi"/>
    <n v="330000"/>
    <n v="0"/>
    <n v="224000"/>
    <n v="106000"/>
  </r>
  <r>
    <n v="100322"/>
    <d v="2026-06-14T00:00:00"/>
    <s v="LG-02"/>
    <x v="1"/>
    <s v="Online"/>
    <s v="Home"/>
    <s v="Electric Kettle"/>
    <s v="C1176"/>
    <s v="New"/>
    <n v="1"/>
    <n v="24000"/>
    <n v="0.1"/>
    <n v="21600"/>
    <n v="15000"/>
    <s v="No"/>
    <s v="Grace"/>
    <n v="21600"/>
    <n v="0"/>
    <n v="15000"/>
    <n v="6600"/>
  </r>
  <r>
    <n v="100323"/>
    <d v="2026-02-26T00:00:00"/>
    <s v="IB-01"/>
    <x v="3"/>
    <s v="WhatsApp"/>
    <s v="Electronics"/>
    <s v="Smartphone"/>
    <s v="C1166"/>
    <s v="Returning"/>
    <n v="2"/>
    <n v="165000"/>
    <n v="0"/>
    <n v="330000"/>
    <n v="112000"/>
    <s v="No"/>
    <s v="Chinedu"/>
    <n v="330000"/>
    <n v="0"/>
    <n v="224000"/>
    <n v="106000"/>
  </r>
  <r>
    <n v="100324"/>
    <d v="2026-01-16T00:00:00"/>
    <s v="IB-01"/>
    <x v="3"/>
    <s v="In-store"/>
    <s v="Electronics"/>
    <s v="Smartphone"/>
    <s v="C1027"/>
    <s v="New"/>
    <n v="3"/>
    <n v="165000"/>
    <n v="0.1"/>
    <n v="445500"/>
    <n v="112000"/>
    <s v="No"/>
    <s v="David"/>
    <n v="445500"/>
    <n v="0"/>
    <n v="336000"/>
    <n v="109500"/>
  </r>
  <r>
    <n v="100325"/>
    <d v="2026-08-17T00:00:00"/>
    <s v="KN-01"/>
    <x v="2"/>
    <s v="WhatsApp"/>
    <s v="Home"/>
    <s v="Blender"/>
    <s v="C1120"/>
    <s v="Returning"/>
    <n v="3"/>
    <n v="42000"/>
    <n v="0.05"/>
    <n v="119700"/>
    <n v="28000"/>
    <s v="No"/>
    <s v="Chinedu"/>
    <n v="119700"/>
    <n v="0"/>
    <n v="84000"/>
    <n v="35700"/>
  </r>
  <r>
    <n v="100326"/>
    <d v="2026-05-23T00:00:00"/>
    <s v="IB-01"/>
    <x v="3"/>
    <s v="Online"/>
    <s v="Electronics"/>
    <s v="Earbuds"/>
    <s v="C1064"/>
    <s v="Returning"/>
    <n v="5"/>
    <n v="32000"/>
    <n v="0.05"/>
    <n v="152000"/>
    <n v="19000"/>
    <s v="No"/>
    <s v="Grace"/>
    <n v="152000"/>
    <n v="0"/>
    <n v="95000"/>
    <n v="57000"/>
  </r>
  <r>
    <n v="100327"/>
    <d v="2026-04-29T00:00:00"/>
    <s v="LG-02"/>
    <x v="1"/>
    <s v="In-store"/>
    <s v="Electronics"/>
    <s v="Power Bank"/>
    <s v="C1123"/>
    <s v="New"/>
    <n v="1"/>
    <n v="26000"/>
    <n v="0.1"/>
    <n v="23400"/>
    <n v="15000"/>
    <s v="No"/>
    <s v="Kemi"/>
    <n v="23400"/>
    <n v="0"/>
    <n v="15000"/>
    <n v="8400"/>
  </r>
  <r>
    <n v="100328"/>
    <d v="2026-05-02T00:00:00"/>
    <s v="KN-01"/>
    <x v="2"/>
    <s v="WhatsApp"/>
    <s v="Home"/>
    <s v="Blender"/>
    <s v="C1079"/>
    <s v="Returning"/>
    <n v="1"/>
    <n v="42000"/>
    <n v="0.05"/>
    <n v="39900"/>
    <n v="28000"/>
    <s v="No"/>
    <s v="Grace"/>
    <n v="39900"/>
    <n v="0"/>
    <n v="28000"/>
    <n v="11900"/>
  </r>
  <r>
    <n v="100329"/>
    <d v="2026-01-01T00:00:00"/>
    <s v="IB-01"/>
    <x v="3"/>
    <s v="WhatsApp"/>
    <s v="Electronics"/>
    <s v="Earbuds"/>
    <s v="C1143"/>
    <s v="Returning"/>
    <n v="2"/>
    <n v="32000"/>
    <n v="0"/>
    <n v="64000"/>
    <n v="19000"/>
    <s v="Yes"/>
    <s v="Fatima"/>
    <n v="64000"/>
    <n v="0"/>
    <n v="38000"/>
    <n v="26000"/>
  </r>
  <r>
    <n v="100330"/>
    <d v="2026-05-11T00:00:00"/>
    <s v="LG-02"/>
    <x v="1"/>
    <s v="In-store"/>
    <s v="Home"/>
    <s v="Standing Fan"/>
    <s v="C1034"/>
    <s v="New"/>
    <n v="2"/>
    <n v="58000"/>
    <n v="0.1"/>
    <n v="104400"/>
    <n v="39000"/>
    <s v="No"/>
    <s v="David"/>
    <n v="104400"/>
    <n v="0"/>
    <n v="78000"/>
    <n v="26400"/>
  </r>
  <r>
    <n v="100331"/>
    <d v="2026-02-17T00:00:00"/>
    <s v="KN-01"/>
    <x v="2"/>
    <s v="Online"/>
    <s v="Accessories"/>
    <s v="Phone Case"/>
    <s v="C1001"/>
    <s v="Returning"/>
    <n v="1"/>
    <n v="9000"/>
    <n v="0.05"/>
    <n v="8550"/>
    <n v="3500"/>
    <s v="No"/>
    <s v="Chinedu"/>
    <n v="8550"/>
    <n v="0"/>
    <n v="3500"/>
    <n v="5050"/>
  </r>
  <r>
    <n v="100332"/>
    <d v="2026-03-19T00:00:00"/>
    <s v="AB-01"/>
    <x v="0"/>
    <s v="In-store"/>
    <s v="Electronics"/>
    <s v="Earbuds"/>
    <s v="C1024"/>
    <s v="New"/>
    <n v="1"/>
    <n v="32000"/>
    <n v="0.05"/>
    <n v="30400"/>
    <n v="19000"/>
    <s v="No"/>
    <s v="David"/>
    <n v="30400"/>
    <n v="0"/>
    <n v="19000"/>
    <n v="11400"/>
  </r>
  <r>
    <n v="100333"/>
    <d v="2026-01-05T00:00:00"/>
    <s v="AB-01"/>
    <x v="0"/>
    <s v="Online"/>
    <s v="Electronics"/>
    <s v="Earbuds"/>
    <s v="C1174"/>
    <s v="New"/>
    <n v="5"/>
    <n v="32000"/>
    <n v="0.1"/>
    <n v="144000"/>
    <n v="19000"/>
    <s v="No"/>
    <s v="Grace"/>
    <n v="144000"/>
    <n v="0"/>
    <n v="95000"/>
    <n v="49000"/>
  </r>
  <r>
    <n v="100334"/>
    <d v="2026-07-16T00:00:00"/>
    <s v="LG-01"/>
    <x v="1"/>
    <s v="In-store"/>
    <s v="Accessories"/>
    <s v="Phone Case"/>
    <s v="C1079"/>
    <s v="Returning"/>
    <n v="1"/>
    <n v="9000"/>
    <n v="0"/>
    <n v="9000"/>
    <n v="3500"/>
    <s v="No"/>
    <s v="Grace"/>
    <n v="9000"/>
    <n v="0"/>
    <n v="3500"/>
    <n v="5500"/>
  </r>
  <r>
    <n v="100335"/>
    <d v="2026-01-04T00:00:00"/>
    <s v="IB-01"/>
    <x v="3"/>
    <s v="Online"/>
    <s v="Electronics"/>
    <s v="Earbuds"/>
    <s v="C1105"/>
    <s v="New"/>
    <n v="1"/>
    <n v="32000"/>
    <n v="0.1"/>
    <n v="28800"/>
    <n v="19000"/>
    <s v="No"/>
    <s v="Aisha"/>
    <n v="28800"/>
    <n v="0"/>
    <n v="19000"/>
    <n v="9800"/>
  </r>
  <r>
    <n v="100336"/>
    <d v="2026-03-04T00:00:00"/>
    <s v="IB-01"/>
    <x v="3"/>
    <s v="WhatsApp"/>
    <s v="Electronics"/>
    <s v="Smartphone"/>
    <s v="C1154"/>
    <s v="Returning"/>
    <n v="2"/>
    <n v="165000"/>
    <n v="0.15"/>
    <n v="280500"/>
    <n v="112000"/>
    <s v="No"/>
    <s v="Fatima"/>
    <n v="280500"/>
    <n v="0"/>
    <n v="224000"/>
    <n v="56500"/>
  </r>
  <r>
    <n v="100337"/>
    <d v="2026-03-04T00:00:00"/>
    <s v="KN-01"/>
    <x v="2"/>
    <s v="In-store"/>
    <s v="Accessories"/>
    <s v="USB Cable"/>
    <s v="C1086"/>
    <s v="New"/>
    <n v="3"/>
    <n v="6500"/>
    <n v="0.15"/>
    <n v="16575"/>
    <n v="2200"/>
    <s v="No"/>
    <s v="Chinedu"/>
    <n v="16575"/>
    <n v="0"/>
    <n v="6600"/>
    <n v="9975"/>
  </r>
  <r>
    <n v="100338"/>
    <d v="2026-03-31T00:00:00"/>
    <s v="LG-01"/>
    <x v="1"/>
    <s v="In-store"/>
    <s v="Home"/>
    <s v="Electric Kettle"/>
    <s v="C1069"/>
    <s v="New"/>
    <n v="2"/>
    <n v="24000"/>
    <n v="0.15"/>
    <n v="40800"/>
    <n v="15000"/>
    <s v="No"/>
    <s v="Aisha"/>
    <n v="40800"/>
    <n v="0"/>
    <n v="30000"/>
    <n v="10800"/>
  </r>
  <r>
    <n v="100339"/>
    <d v="2026-02-04T00:00:00"/>
    <s v="LG-01"/>
    <x v="1"/>
    <s v="In-store"/>
    <s v="Electronics"/>
    <s v="Power Bank"/>
    <s v="C1025"/>
    <s v="New"/>
    <n v="2"/>
    <n v="26000"/>
    <n v="0.05"/>
    <n v="49400"/>
    <n v="15000"/>
    <s v="No"/>
    <s v="Grace"/>
    <n v="49400"/>
    <n v="0"/>
    <n v="30000"/>
    <n v="19400"/>
  </r>
  <r>
    <n v="100340"/>
    <d v="2026-03-25T00:00:00"/>
    <s v="AB-01"/>
    <x v="0"/>
    <s v="Online"/>
    <s v="Electronics"/>
    <s v="Smartphone"/>
    <s v="C1028"/>
    <s v="Returning"/>
    <n v="1"/>
    <n v="165000"/>
    <n v="0.15"/>
    <n v="140250"/>
    <n v="112000"/>
    <s v="No"/>
    <s v="Ibrahim"/>
    <n v="140250"/>
    <n v="0"/>
    <n v="112000"/>
    <n v="28250"/>
  </r>
  <r>
    <n v="100341"/>
    <d v="2026-06-08T00:00:00"/>
    <s v="LG-01"/>
    <x v="1"/>
    <s v="In-store"/>
    <s v="Electronics"/>
    <s v="Smartphone"/>
    <s v="C1171"/>
    <s v="Returning"/>
    <n v="3"/>
    <n v="165000"/>
    <n v="0"/>
    <n v="495000"/>
    <n v="112000"/>
    <s v="No"/>
    <s v="Chinedu"/>
    <n v="495000"/>
    <n v="0"/>
    <n v="336000"/>
    <n v="159000"/>
  </r>
  <r>
    <n v="100342"/>
    <d v="2026-01-31T00:00:00"/>
    <s v="AB-01"/>
    <x v="0"/>
    <s v="In-store"/>
    <s v="Electronics"/>
    <s v="Earbuds"/>
    <s v="C1127"/>
    <s v="Returning"/>
    <n v="4"/>
    <n v="32000"/>
    <n v="0"/>
    <n v="128000"/>
    <n v="19000"/>
    <s v="No"/>
    <s v="Ibrahim"/>
    <n v="128000"/>
    <n v="0"/>
    <n v="76000"/>
    <n v="52000"/>
  </r>
  <r>
    <n v="100343"/>
    <d v="2026-07-14T00:00:00"/>
    <s v="KN-01"/>
    <x v="2"/>
    <s v="In-store"/>
    <s v="Electronics"/>
    <s v="Smartphone"/>
    <s v="C1061"/>
    <s v="Returning"/>
    <n v="4"/>
    <n v="165000"/>
    <n v="0"/>
    <n v="660000"/>
    <n v="112000"/>
    <s v="Yes"/>
    <s v="Fatima"/>
    <n v="660000"/>
    <n v="0"/>
    <n v="448000"/>
    <n v="212000"/>
  </r>
  <r>
    <n v="100344"/>
    <d v="2026-08-19T00:00:00"/>
    <s v="IB-01"/>
    <x v="3"/>
    <s v="Online"/>
    <s v="Home"/>
    <s v="Electric Kettle"/>
    <s v="C1159"/>
    <s v="New"/>
    <n v="2"/>
    <n v="24000"/>
    <n v="0.1"/>
    <n v="43200"/>
    <n v="15000"/>
    <s v="No"/>
    <s v="Bola"/>
    <n v="43200"/>
    <n v="0"/>
    <n v="30000"/>
    <n v="13200"/>
  </r>
  <r>
    <n v="100345"/>
    <d v="2026-01-16T00:00:00"/>
    <s v="LG-01"/>
    <x v="1"/>
    <s v="In-store"/>
    <s v="Home"/>
    <s v="Standing Fan"/>
    <s v="C1134"/>
    <s v="Returning"/>
    <n v="2"/>
    <n v="58000"/>
    <n v="0.15"/>
    <n v="98600"/>
    <n v="39000"/>
    <s v="No"/>
    <s v="Chinedu"/>
    <n v="98600"/>
    <n v="0"/>
    <n v="78000"/>
    <n v="20600"/>
  </r>
  <r>
    <n v="100346"/>
    <d v="2026-02-12T00:00:00"/>
    <s v="AB-01"/>
    <x v="0"/>
    <s v="In-store"/>
    <s v="Accessories"/>
    <s v="Phone Case"/>
    <s v="C1049"/>
    <s v="Returning"/>
    <n v="2"/>
    <n v="9000"/>
    <n v="0.15"/>
    <n v="15300"/>
    <n v="3500"/>
    <s v="No"/>
    <s v="Ibrahim"/>
    <n v="15300"/>
    <n v="0"/>
    <n v="7000"/>
    <n v="8300"/>
  </r>
  <r>
    <n v="100347"/>
    <d v="2026-02-21T00:00:00"/>
    <s v="KN-01"/>
    <x v="2"/>
    <s v="In-store"/>
    <s v="Electronics"/>
    <s v="Earbuds"/>
    <s v="C1066"/>
    <s v="Returning"/>
    <n v="3"/>
    <n v="32000"/>
    <n v="0"/>
    <n v="96000"/>
    <n v="19000"/>
    <s v="No"/>
    <s v="Chinedu"/>
    <n v="96000"/>
    <n v="0"/>
    <n v="57000"/>
    <n v="39000"/>
  </r>
  <r>
    <n v="100348"/>
    <d v="2026-07-22T00:00:00"/>
    <s v="KN-01"/>
    <x v="2"/>
    <s v="In-store"/>
    <s v="Home"/>
    <s v="Electric Kettle"/>
    <s v="C1096"/>
    <s v="Returning"/>
    <n v="5"/>
    <n v="24000"/>
    <n v="0.05"/>
    <n v="114000"/>
    <n v="15000"/>
    <s v="No"/>
    <s v="Chinedu"/>
    <n v="114000"/>
    <n v="0"/>
    <n v="75000"/>
    <n v="39000"/>
  </r>
  <r>
    <n v="100349"/>
    <d v="2026-04-29T00:00:00"/>
    <s v="IB-01"/>
    <x v="3"/>
    <s v="In-store"/>
    <s v="Electronics"/>
    <s v="Earbuds"/>
    <s v="C1097"/>
    <s v="Returning"/>
    <n v="2"/>
    <n v="32000"/>
    <n v="0.15"/>
    <n v="54400"/>
    <n v="19000"/>
    <s v="No"/>
    <s v="Aisha"/>
    <n v="54400"/>
    <n v="0"/>
    <n v="38000"/>
    <n v="16400"/>
  </r>
  <r>
    <n v="100350"/>
    <d v="2026-05-28T00:00:00"/>
    <s v="LG-01"/>
    <x v="1"/>
    <s v="In-store"/>
    <s v="Home"/>
    <s v="Blender"/>
    <s v="C1110"/>
    <s v="New"/>
    <n v="3"/>
    <n v="42000"/>
    <n v="0.15"/>
    <n v="96390"/>
    <n v="28000"/>
    <s v="No"/>
    <s v="Fatima"/>
    <n v="107100"/>
    <n v="-10710"/>
    <n v="84000"/>
    <n v="23100"/>
  </r>
  <r>
    <n v="100351"/>
    <d v="2026-01-18T00:00:00"/>
    <s v="KN-01"/>
    <x v="2"/>
    <s v="In-store"/>
    <s v="Electronics"/>
    <s v="Earbuds"/>
    <s v="C1029"/>
    <s v="New"/>
    <n v="2"/>
    <n v="32000"/>
    <n v="0.1"/>
    <n v="57600"/>
    <n v="19000"/>
    <s v="No"/>
    <s v="Bola"/>
    <n v="57600"/>
    <n v="0"/>
    <n v="38000"/>
    <n v="19600"/>
  </r>
  <r>
    <n v="100352"/>
    <d v="2026-04-22T00:00:00"/>
    <s v="LG-01"/>
    <x v="1"/>
    <s v="Online"/>
    <s v="Electronics"/>
    <s v="Earbuds"/>
    <s v="C1071"/>
    <s v="New"/>
    <n v="2"/>
    <n v="32000"/>
    <n v="0.15"/>
    <n v="54400"/>
    <n v="19000"/>
    <s v="No"/>
    <s v="Bola"/>
    <n v="54400"/>
    <n v="0"/>
    <n v="38000"/>
    <n v="16400"/>
  </r>
  <r>
    <n v="100353"/>
    <d v="2026-06-30T00:00:00"/>
    <s v="AB-01"/>
    <x v="0"/>
    <s v="Online"/>
    <s v="Accessories"/>
    <s v="Backpack"/>
    <s v="C1021"/>
    <s v="New"/>
    <n v="1"/>
    <n v="28000"/>
    <n v="0.15"/>
    <n v="23800"/>
    <n v="16000"/>
    <s v="No"/>
    <s v="Bola"/>
    <n v="23800"/>
    <n v="0"/>
    <n v="16000"/>
    <n v="7800"/>
  </r>
  <r>
    <n v="100354"/>
    <d v="2026-01-15T00:00:00"/>
    <s v="IB-01"/>
    <x v="3"/>
    <s v="Online"/>
    <s v="Accessories"/>
    <s v="Phone Case"/>
    <s v="C1091"/>
    <s v="Returning"/>
    <n v="1"/>
    <n v="9000"/>
    <n v="0.15"/>
    <n v="7650"/>
    <n v="3500"/>
    <s v="No"/>
    <s v="Fatima"/>
    <n v="7650"/>
    <n v="0"/>
    <n v="3500"/>
    <n v="4150"/>
  </r>
  <r>
    <n v="100355"/>
    <d v="2026-03-18T00:00:00"/>
    <s v="LG-02"/>
    <x v="1"/>
    <s v="Online"/>
    <s v="Home"/>
    <s v="Blender"/>
    <s v="C1077"/>
    <s v="Returning"/>
    <n v="18"/>
    <n v="42000"/>
    <n v="0.1"/>
    <n v="680400"/>
    <n v="28000"/>
    <s v="No"/>
    <s v="Kemi"/>
    <n v="680400"/>
    <n v="0"/>
    <n v="504000"/>
    <n v="176400"/>
  </r>
  <r>
    <n v="100356"/>
    <d v="2026-04-04T00:00:00"/>
    <s v="IB-01"/>
    <x v="3"/>
    <s v="Online"/>
    <s v="Home"/>
    <s v="Standing Fan"/>
    <s v="C1178"/>
    <s v="Returning"/>
    <n v="4"/>
    <n v="58000"/>
    <n v="0"/>
    <n v="232000"/>
    <n v="39000"/>
    <s v="No"/>
    <s v="Bola"/>
    <n v="232000"/>
    <n v="0"/>
    <n v="156000"/>
    <n v="76000"/>
  </r>
  <r>
    <n v="100357"/>
    <d v="2026-07-23T00:00:00"/>
    <s v="AB-02"/>
    <x v="0"/>
    <s v="In-store"/>
    <s v="Electronics"/>
    <s v="Power Bank"/>
    <s v="C1049"/>
    <s v="Returning"/>
    <n v="1"/>
    <n v="26000"/>
    <n v="0.2"/>
    <n v="20800"/>
    <n v="15000"/>
    <s v="No"/>
    <s v="David"/>
    <n v="20800"/>
    <n v="0"/>
    <n v="15000"/>
    <n v="5800"/>
  </r>
  <r>
    <n v="100358"/>
    <d v="2026-05-09T00:00:00"/>
    <s v="AB-02"/>
    <x v="0"/>
    <s v="Online"/>
    <s v="Electronics"/>
    <s v="Power Bank"/>
    <s v="C1000"/>
    <s v="Returning"/>
    <n v="2"/>
    <n v="26000"/>
    <n v="0.1"/>
    <n v="46800"/>
    <n v="15000"/>
    <s v="Yes"/>
    <s v="Bola"/>
    <n v="46800"/>
    <n v="0"/>
    <n v="30000"/>
    <n v="16800"/>
  </r>
  <r>
    <n v="100359"/>
    <d v="2026-08-12T00:00:00"/>
    <s v="AB-02"/>
    <x v="0"/>
    <s v="Online"/>
    <s v="Accessories"/>
    <s v="Backpack"/>
    <s v="C1185"/>
    <s v="New"/>
    <n v="1"/>
    <n v="28000"/>
    <n v="0"/>
    <n v="28000"/>
    <n v="16000"/>
    <s v="No"/>
    <s v="Fatima"/>
    <n v="28000"/>
    <n v="0"/>
    <n v="16000"/>
    <n v="12000"/>
  </r>
  <r>
    <n v="100360"/>
    <d v="2026-07-01T00:00:00"/>
    <s v="KN-01"/>
    <x v="2"/>
    <s v="Online"/>
    <s v="Home"/>
    <s v="Blender"/>
    <s v="C1008"/>
    <s v="Returning"/>
    <n v="1"/>
    <n v="42000"/>
    <n v="0.15"/>
    <n v="35700"/>
    <n v="28000"/>
    <s v="No"/>
    <s v="Kemi"/>
    <n v="35700"/>
    <n v="0"/>
    <n v="28000"/>
    <n v="7700"/>
  </r>
  <r>
    <n v="100361"/>
    <d v="2026-01-06T00:00:00"/>
    <s v="IB-01"/>
    <x v="3"/>
    <s v="Online"/>
    <s v="Accessories"/>
    <s v="USB Cable"/>
    <s v="C1151"/>
    <s v="New"/>
    <n v="2"/>
    <n v="6500"/>
    <n v="0.05"/>
    <n v="12350"/>
    <n v="2200"/>
    <s v="No"/>
    <s v="Aisha"/>
    <n v="12350"/>
    <n v="0"/>
    <n v="4400"/>
    <n v="7950"/>
  </r>
  <r>
    <n v="100362"/>
    <d v="2026-03-24T00:00:00"/>
    <s v="LG-02"/>
    <x v="1"/>
    <s v="Online"/>
    <s v="Accessories"/>
    <s v="Phone Case"/>
    <s v="C1132"/>
    <s v="New"/>
    <n v="4"/>
    <n v="9000"/>
    <n v="0.15"/>
    <n v="30600"/>
    <n v="3500"/>
    <s v="No"/>
    <s v="Ibrahim"/>
    <n v="30600"/>
    <n v="0"/>
    <n v="14000"/>
    <n v="16600"/>
  </r>
  <r>
    <n v="100363"/>
    <d v="2026-06-20T00:00:00"/>
    <s v="IB-01"/>
    <x v="3"/>
    <s v="In-store"/>
    <s v="Home"/>
    <s v="Electric Kettle"/>
    <s v="C1190"/>
    <s v="Returning"/>
    <n v="2"/>
    <n v="24000"/>
    <n v="0.1"/>
    <n v="43200"/>
    <n v="15000"/>
    <s v="No"/>
    <s v="Ibrahim"/>
    <n v="43200"/>
    <n v="0"/>
    <n v="30000"/>
    <n v="13200"/>
  </r>
  <r>
    <n v="100364"/>
    <d v="2026-07-23T00:00:00"/>
    <s v="AB-01"/>
    <x v="0"/>
    <s v="In-store"/>
    <s v="Home"/>
    <s v="Electric Kettle"/>
    <s v="C1015"/>
    <s v="Returning"/>
    <n v="2"/>
    <n v="24000"/>
    <n v="0.25"/>
    <n v="36000"/>
    <n v="15000"/>
    <s v="Yes"/>
    <s v="Fatima"/>
    <n v="36000"/>
    <n v="0"/>
    <n v="30000"/>
    <n v="6000"/>
  </r>
  <r>
    <n v="100365"/>
    <d v="2026-06-22T00:00:00"/>
    <s v="IB-01"/>
    <x v="3"/>
    <s v="WhatsApp"/>
    <s v="Electronics"/>
    <s v="Smartphone"/>
    <s v="C1169"/>
    <s v="Returning"/>
    <n v="4"/>
    <n v="165000"/>
    <n v="0.05"/>
    <n v="627000"/>
    <n v="112000"/>
    <s v="No"/>
    <s v="Chinedu"/>
    <n v="627000"/>
    <n v="0"/>
    <n v="448000"/>
    <n v="179000"/>
  </r>
  <r>
    <n v="100366"/>
    <d v="2026-07-19T00:00:00"/>
    <s v="AB-01"/>
    <x v="0"/>
    <s v="WhatsApp"/>
    <s v="Home"/>
    <s v="Electric Kettle"/>
    <s v="C1027"/>
    <s v="Returning"/>
    <n v="1"/>
    <n v="24000"/>
    <n v="0.25"/>
    <n v="18000"/>
    <n v="15000"/>
    <s v="Yes"/>
    <s v="Bola"/>
    <n v="18000"/>
    <n v="0"/>
    <n v="15000"/>
    <n v="3000"/>
  </r>
  <r>
    <n v="100367"/>
    <d v="2026-07-22T00:00:00"/>
    <s v="KN-01"/>
    <x v="2"/>
    <s v="In-store"/>
    <s v="Accessories"/>
    <s v="Phone Case"/>
    <s v="C1187"/>
    <s v="Returning"/>
    <n v="2"/>
    <n v="9000"/>
    <n v="0"/>
    <n v="18000"/>
    <n v="3500"/>
    <s v="No"/>
    <s v="Kemi"/>
    <n v="18000"/>
    <n v="0"/>
    <n v="7000"/>
    <n v="11000"/>
  </r>
  <r>
    <n v="100368"/>
    <d v="2026-07-13T00:00:00"/>
    <s v="LG-02"/>
    <x v="1"/>
    <s v="In-store"/>
    <s v="Accessories"/>
    <s v="USB Cable"/>
    <s v="C1102"/>
    <s v="Returning"/>
    <n v="4"/>
    <n v="6500"/>
    <n v="0.05"/>
    <n v="24700"/>
    <n v="2200"/>
    <s v="No"/>
    <s v="Bola"/>
    <n v="24700"/>
    <n v="0"/>
    <n v="8800"/>
    <n v="15900"/>
  </r>
  <r>
    <n v="100369"/>
    <d v="2026-06-20T00:00:00"/>
    <s v="KN-01"/>
    <x v="2"/>
    <s v="WhatsApp"/>
    <s v="Electronics"/>
    <s v="Power Bank"/>
    <s v="C1102"/>
    <s v="Returning"/>
    <n v="2"/>
    <n v="26000"/>
    <n v="0.05"/>
    <n v="59280"/>
    <n v="15000"/>
    <s v="No"/>
    <s v="Bola"/>
    <n v="49400"/>
    <n v="9880"/>
    <n v="30000"/>
    <n v="19400"/>
  </r>
  <r>
    <n v="100370"/>
    <d v="2026-06-12T00:00:00"/>
    <s v="LG-01"/>
    <x v="1"/>
    <s v="WhatsApp"/>
    <s v="Home"/>
    <s v="Standing Fan"/>
    <s v="C1002"/>
    <s v="Returning"/>
    <n v="1"/>
    <n v="58000"/>
    <n v="0.1"/>
    <n v="52200"/>
    <n v="39000"/>
    <s v="No"/>
    <s v="Grace"/>
    <n v="52200"/>
    <n v="0"/>
    <n v="39000"/>
    <n v="13200"/>
  </r>
  <r>
    <n v="100371"/>
    <d v="2026-04-19T00:00:00"/>
    <s v="IB-01"/>
    <x v="3"/>
    <s v="In-store"/>
    <s v="Home"/>
    <s v="Standing Fan"/>
    <s v="C1170"/>
    <s v="New"/>
    <n v="3"/>
    <n v="58000"/>
    <n v="0.1"/>
    <n v="156600"/>
    <n v="39000"/>
    <s v="No"/>
    <s v="Grace"/>
    <n v="156600"/>
    <n v="0"/>
    <n v="117000"/>
    <n v="39600"/>
  </r>
  <r>
    <n v="100372"/>
    <d v="2026-07-31T00:00:00"/>
    <s v="AB-01"/>
    <x v="0"/>
    <s v="In-store"/>
    <s v="Home"/>
    <s v="Electric Kettle"/>
    <s v="C1124"/>
    <s v="Returning"/>
    <n v="1"/>
    <n v="24000"/>
    <n v="0"/>
    <n v="24000"/>
    <n v="15000"/>
    <s v="No"/>
    <s v="Grace"/>
    <n v="24000"/>
    <n v="0"/>
    <n v="15000"/>
    <n v="9000"/>
  </r>
  <r>
    <n v="100373"/>
    <d v="2026-02-22T00:00:00"/>
    <s v="AB-01"/>
    <x v="0"/>
    <s v="In-store"/>
    <s v="Home"/>
    <s v="Standing Fan"/>
    <s v="C1025"/>
    <s v="New"/>
    <n v="2"/>
    <n v="58000"/>
    <n v="0.2"/>
    <n v="92800"/>
    <n v="39000"/>
    <s v="Yes"/>
    <s v="Chinedu"/>
    <n v="92800"/>
    <n v="0"/>
    <n v="78000"/>
    <n v="14800"/>
  </r>
  <r>
    <n v="100374"/>
    <d v="2026-03-31T00:00:00"/>
    <s v="KN-01"/>
    <x v="2"/>
    <s v="Online"/>
    <s v="Home"/>
    <s v="Electric Kettle"/>
    <s v="C1063"/>
    <s v="New"/>
    <n v="1"/>
    <n v="24000"/>
    <n v="0.05"/>
    <n v="22800"/>
    <n v="15000"/>
    <s v="No"/>
    <s v="Fatima"/>
    <n v="22800"/>
    <n v="0"/>
    <n v="15000"/>
    <n v="7800"/>
  </r>
  <r>
    <n v="100375"/>
    <d v="2026-01-04T00:00:00"/>
    <s v="AB-01"/>
    <x v="0"/>
    <s v="In-store"/>
    <s v="Home"/>
    <s v="Blender"/>
    <s v="C1085"/>
    <s v="New"/>
    <n v="2"/>
    <n v="42000"/>
    <n v="0.25"/>
    <n v="63000"/>
    <n v="28000"/>
    <s v="No"/>
    <s v="Chinedu"/>
    <n v="63000"/>
    <n v="0"/>
    <n v="56000"/>
    <n v="7000"/>
  </r>
  <r>
    <n v="100376"/>
    <d v="2026-01-28T00:00:00"/>
    <s v="KN-01"/>
    <x v="2"/>
    <s v="In-store"/>
    <s v="Electronics"/>
    <s v="Smartphone"/>
    <s v="C1160"/>
    <s v="New"/>
    <n v="1"/>
    <n v="165000"/>
    <n v="0.1"/>
    <n v="148500"/>
    <n v="112000"/>
    <s v="No"/>
    <s v="Kemi"/>
    <n v="148500"/>
    <n v="0"/>
    <n v="112000"/>
    <n v="36500"/>
  </r>
  <r>
    <n v="100377"/>
    <d v="2026-04-27T00:00:00"/>
    <s v="LG-02"/>
    <x v="1"/>
    <s v="In-store"/>
    <s v="Accessories"/>
    <s v="USB Cable"/>
    <s v="C1048"/>
    <s v="New"/>
    <n v="3"/>
    <n v="6500"/>
    <n v="0.05"/>
    <n v="18525"/>
    <n v="2200"/>
    <s v="Yes"/>
    <s v="Kemi"/>
    <n v="18525"/>
    <n v="0"/>
    <n v="6600"/>
    <n v="11925"/>
  </r>
  <r>
    <n v="100378"/>
    <d v="2026-04-09T00:00:00"/>
    <s v="IB-01"/>
    <x v="3"/>
    <s v="Online"/>
    <s v="Electronics"/>
    <s v="Smartphone"/>
    <s v="C1007"/>
    <s v="New"/>
    <n v="3"/>
    <n v="165000"/>
    <n v="0.05"/>
    <n v="470250"/>
    <n v="112000"/>
    <s v="No"/>
    <s v="Aisha"/>
    <n v="470250"/>
    <n v="0"/>
    <n v="336000"/>
    <n v="134250"/>
  </r>
  <r>
    <n v="100379"/>
    <d v="2026-03-14T00:00:00"/>
    <s v="AB-01"/>
    <x v="0"/>
    <s v="In-store"/>
    <s v="Home"/>
    <s v="Standing Fan"/>
    <s v="C1022"/>
    <s v="Returning"/>
    <n v="3"/>
    <n v="58000"/>
    <n v="0.25"/>
    <n v="130500"/>
    <n v="39000"/>
    <s v="No"/>
    <s v="Ibrahim"/>
    <n v="130500"/>
    <n v="0"/>
    <n v="117000"/>
    <n v="13500"/>
  </r>
  <r>
    <n v="100380"/>
    <d v="2026-01-29T00:00:00"/>
    <s v="KN-01"/>
    <x v="2"/>
    <s v="WhatsApp"/>
    <s v="Electronics"/>
    <s v="Earbuds"/>
    <s v="C1119"/>
    <s v="Returning"/>
    <n v="2"/>
    <n v="32000"/>
    <n v="0.15"/>
    <n v="54400"/>
    <n v="19000"/>
    <s v="No"/>
    <s v="Kemi"/>
    <n v="54400"/>
    <n v="0"/>
    <n v="38000"/>
    <n v="16400"/>
  </r>
  <r>
    <n v="100381"/>
    <d v="2026-04-03T00:00:00"/>
    <s v="PH-01"/>
    <x v="4"/>
    <s v="In-store"/>
    <s v="Accessories"/>
    <s v="Phone Case"/>
    <s v="C1190"/>
    <s v="Returning"/>
    <n v="2"/>
    <n v="9000"/>
    <n v="0.05"/>
    <n v="17100"/>
    <n v="3500"/>
    <s v="No"/>
    <s v="Kemi"/>
    <n v="17100"/>
    <n v="0"/>
    <n v="7000"/>
    <n v="10100"/>
  </r>
  <r>
    <n v="100382"/>
    <d v="2026-08-15T00:00:00"/>
    <s v="PH-01"/>
    <x v="4"/>
    <s v="Online"/>
    <s v="Home"/>
    <s v="Blender"/>
    <s v="C1172"/>
    <s v="New"/>
    <n v="4"/>
    <n v="42000"/>
    <n v="0.15"/>
    <n v="142800"/>
    <n v="28000"/>
    <s v="No"/>
    <s v="Aisha"/>
    <n v="142800"/>
    <n v="0"/>
    <n v="112000"/>
    <n v="30800"/>
  </r>
  <r>
    <n v="100383"/>
    <d v="2026-02-20T00:00:00"/>
    <s v="LG-01"/>
    <x v="1"/>
    <s v="In-store"/>
    <s v="Accessories"/>
    <s v="USB Cable"/>
    <s v="C1042"/>
    <s v="Returning"/>
    <n v="22"/>
    <n v="6500"/>
    <n v="0"/>
    <n v="143000"/>
    <n v="2200"/>
    <s v="No"/>
    <s v="David"/>
    <n v="143000"/>
    <n v="0"/>
    <n v="48400"/>
    <n v="94600"/>
  </r>
  <r>
    <n v="100384"/>
    <d v="2026-07-24T00:00:00"/>
    <s v="IB-01"/>
    <x v="3"/>
    <s v="Online"/>
    <s v="Home"/>
    <s v="Electric Kettle"/>
    <s v="C1026"/>
    <s v="Returning"/>
    <n v="3"/>
    <n v="24000"/>
    <n v="0.05"/>
    <n v="68400"/>
    <n v="15000"/>
    <s v="No"/>
    <s v="Ibrahim"/>
    <n v="68400"/>
    <n v="0"/>
    <n v="45000"/>
    <n v="23400"/>
  </r>
  <r>
    <n v="100385"/>
    <d v="2026-07-02T00:00:00"/>
    <s v="LG-02"/>
    <x v="1"/>
    <s v="In-store"/>
    <s v="Electronics"/>
    <s v="Smartphone"/>
    <s v="C1111"/>
    <s v="Returning"/>
    <n v="3"/>
    <n v="165000"/>
    <n v="0"/>
    <n v="495000"/>
    <n v="112000"/>
    <s v="No"/>
    <s v="Kemi"/>
    <n v="495000"/>
    <n v="0"/>
    <n v="336000"/>
    <n v="159000"/>
  </r>
  <r>
    <n v="100386"/>
    <d v="2026-01-27T00:00:00"/>
    <s v="LG-01"/>
    <x v="1"/>
    <s v="WhatsApp"/>
    <s v="Accessories"/>
    <s v="Phone Case"/>
    <s v="C1068"/>
    <s v="New"/>
    <n v="3"/>
    <n v="9000"/>
    <n v="0"/>
    <n v="27000"/>
    <n v="3500"/>
    <s v="No"/>
    <s v="Ibrahim"/>
    <n v="27000"/>
    <n v="0"/>
    <n v="10500"/>
    <n v="16500"/>
  </r>
  <r>
    <n v="100387"/>
    <d v="2026-07-28T00:00:00"/>
    <s v="IB-01"/>
    <x v="3"/>
    <s v="In-store"/>
    <s v="Electronics"/>
    <s v="Earbuds"/>
    <s v="C1175"/>
    <s v="Returning"/>
    <n v="4"/>
    <n v="32000"/>
    <n v="0.1"/>
    <n v="115200"/>
    <n v="19000"/>
    <s v="No"/>
    <s v="Kemi"/>
    <n v="115200"/>
    <n v="0"/>
    <n v="76000"/>
    <n v="39200"/>
  </r>
  <r>
    <n v="100388"/>
    <d v="2026-08-25T00:00:00"/>
    <s v="PH-01"/>
    <x v="4"/>
    <s v="In-store"/>
    <s v="Electronics"/>
    <s v="Earbuds"/>
    <s v="C1185"/>
    <s v="Returning"/>
    <n v="1"/>
    <n v="32000"/>
    <n v="0"/>
    <n v="32000"/>
    <n v="19000"/>
    <s v="No"/>
    <s v="Bola"/>
    <n v="32000"/>
    <n v="0"/>
    <n v="19000"/>
    <n v="13000"/>
  </r>
  <r>
    <n v="100389"/>
    <d v="2026-06-17T00:00:00"/>
    <s v="IB-01"/>
    <x v="3"/>
    <s v="In-store"/>
    <s v="Home"/>
    <s v="Electric Kettle"/>
    <s v="C1029"/>
    <s v="New"/>
    <n v="1"/>
    <n v="24000"/>
    <n v="0.05"/>
    <n v="22800"/>
    <n v="15000"/>
    <s v="No"/>
    <s v="Aisha"/>
    <n v="22800"/>
    <n v="0"/>
    <n v="15000"/>
    <n v="7800"/>
  </r>
  <r>
    <n v="100390"/>
    <d v="2026-08-06T00:00:00"/>
    <s v="KN-01"/>
    <x v="2"/>
    <s v="WhatsApp"/>
    <s v="Home"/>
    <s v="Standing Fan"/>
    <s v="C1066"/>
    <s v="Returning"/>
    <n v="2"/>
    <n v="58000"/>
    <n v="0.1"/>
    <n v="104400"/>
    <n v="39000"/>
    <s v="No"/>
    <s v="Ibrahim"/>
    <n v="104400"/>
    <n v="0"/>
    <n v="78000"/>
    <n v="26400"/>
  </r>
  <r>
    <n v="100391"/>
    <d v="2026-04-13T00:00:00"/>
    <s v="KN-01"/>
    <x v="2"/>
    <s v="Online"/>
    <s v="Accessories"/>
    <s v="Phone Case"/>
    <s v="C1150"/>
    <s v="New"/>
    <n v="1"/>
    <n v="9000"/>
    <n v="0.05"/>
    <n v="8550"/>
    <n v="3500"/>
    <s v="No"/>
    <s v="David"/>
    <n v="8550"/>
    <n v="0"/>
    <n v="3500"/>
    <n v="5050"/>
  </r>
  <r>
    <n v="100392"/>
    <d v="2026-06-05T00:00:00"/>
    <s v="LG-02"/>
    <x v="1"/>
    <s v="In-store"/>
    <s v="Accessories"/>
    <s v="USB Cable"/>
    <s v="C1072"/>
    <s v="New"/>
    <n v="2"/>
    <n v="6500"/>
    <n v="0.15"/>
    <n v="11050"/>
    <n v="2200"/>
    <s v="No"/>
    <s v="David"/>
    <n v="11050"/>
    <n v="0"/>
    <n v="4400"/>
    <n v="6650"/>
  </r>
  <r>
    <n v="100393"/>
    <d v="2026-01-17T00:00:00"/>
    <s v="KN-01"/>
    <x v="2"/>
    <s v="Online"/>
    <s v="Accessories"/>
    <s v="USB Cable"/>
    <s v="C1001"/>
    <s v="Returning"/>
    <n v="2"/>
    <n v="6500"/>
    <n v="0.1"/>
    <n v="11700"/>
    <n v="2200"/>
    <s v="No"/>
    <s v="Chinedu"/>
    <n v="11700"/>
    <n v="0"/>
    <n v="4400"/>
    <n v="7300"/>
  </r>
  <r>
    <n v="100394"/>
    <d v="2026-08-21T00:00:00"/>
    <s v="LG-01"/>
    <x v="1"/>
    <s v="Online"/>
    <s v="Accessories"/>
    <s v="Phone Case"/>
    <s v="C1065"/>
    <s v="Returning"/>
    <n v="3"/>
    <n v="9000"/>
    <n v="0.05"/>
    <n v="25650"/>
    <n v="3500"/>
    <s v="No"/>
    <s v="Aisha"/>
    <n v="25650"/>
    <n v="0"/>
    <n v="10500"/>
    <n v="15150"/>
  </r>
  <r>
    <n v="100395"/>
    <d v="2026-05-09T00:00:00"/>
    <s v="KN-01"/>
    <x v="2"/>
    <s v="WhatsApp"/>
    <s v="Accessories"/>
    <s v="Backpack"/>
    <s v="C1089"/>
    <s v="Returning"/>
    <n v="2"/>
    <n v="28000"/>
    <n v="0.05"/>
    <n v="53200"/>
    <n v="16000"/>
    <s v="No"/>
    <s v="Aisha"/>
    <n v="53200"/>
    <n v="0"/>
    <n v="32000"/>
    <n v="21200"/>
  </r>
  <r>
    <n v="100396"/>
    <d v="2026-01-26T00:00:00"/>
    <s v="AB-01"/>
    <x v="0"/>
    <s v="In-store"/>
    <s v="Home"/>
    <s v="Electric Kettle"/>
    <s v="C1138"/>
    <s v="Returning"/>
    <n v="1"/>
    <n v="24000"/>
    <n v="0.2"/>
    <n v="19200"/>
    <n v="15000"/>
    <s v="No"/>
    <s v="Bola"/>
    <n v="19200"/>
    <n v="0"/>
    <n v="15000"/>
    <n v="4200"/>
  </r>
  <r>
    <n v="100397"/>
    <d v="2026-06-17T00:00:00"/>
    <s v="LG-02"/>
    <x v="1"/>
    <s v="WhatsApp"/>
    <s v="Electronics"/>
    <s v="Smartphone"/>
    <s v="C1039"/>
    <s v="New"/>
    <n v="3"/>
    <n v="165000"/>
    <n v="0"/>
    <n v="495000"/>
    <n v="112000"/>
    <s v="No"/>
    <s v="Grace"/>
    <n v="495000"/>
    <n v="0"/>
    <n v="336000"/>
    <n v="159000"/>
  </r>
  <r>
    <n v="100398"/>
    <d v="2026-07-15T00:00:00"/>
    <s v="LG-01"/>
    <x v="1"/>
    <s v="In-store"/>
    <s v="Home"/>
    <s v="Standing Fan"/>
    <s v="C1134"/>
    <s v="Returning"/>
    <n v="4"/>
    <n v="58000"/>
    <n v="0"/>
    <n v="232000"/>
    <n v="39000"/>
    <s v="No"/>
    <s v="Grace"/>
    <n v="232000"/>
    <n v="0"/>
    <n v="156000"/>
    <n v="76000"/>
  </r>
  <r>
    <n v="100399"/>
    <d v="2026-05-31T00:00:00"/>
    <s v="KN-01"/>
    <x v="2"/>
    <s v="Online"/>
    <s v="Electronics"/>
    <s v="Power Bank"/>
    <s v="C1133"/>
    <s v="Returning"/>
    <n v="2"/>
    <n v="26000"/>
    <n v="0.1"/>
    <n v="46800"/>
    <n v="15000"/>
    <s v="No"/>
    <s v="Chinedu"/>
    <n v="46800"/>
    <n v="0"/>
    <n v="30000"/>
    <n v="16800"/>
  </r>
  <r>
    <n v="100400"/>
    <d v="2026-04-29T00:00:00"/>
    <s v="IB-01"/>
    <x v="3"/>
    <s v="WhatsApp"/>
    <s v="Home"/>
    <s v="Standing Fan"/>
    <s v="C1039"/>
    <s v="New"/>
    <n v="1"/>
    <n v="58000"/>
    <n v="0"/>
    <n v="58000"/>
    <n v="39000"/>
    <s v="No"/>
    <s v="Aisha"/>
    <n v="58000"/>
    <n v="0"/>
    <n v="39000"/>
    <n v="19000"/>
  </r>
  <r>
    <n v="100401"/>
    <d v="2026-05-26T00:00:00"/>
    <s v="IB-01"/>
    <x v="3"/>
    <s v="Online"/>
    <s v="Electronics"/>
    <s v="Smartphone"/>
    <s v="C1158"/>
    <s v="Returning"/>
    <n v="3"/>
    <n v="165000"/>
    <n v="0"/>
    <n v="495000"/>
    <n v="112000"/>
    <s v="Yes"/>
    <s v="Fatima"/>
    <n v="495000"/>
    <n v="0"/>
    <n v="336000"/>
    <n v="159000"/>
  </r>
  <r>
    <n v="100402"/>
    <d v="2026-01-21T00:00:00"/>
    <s v="IB-01"/>
    <x v="3"/>
    <s v="WhatsApp"/>
    <s v="Electronics"/>
    <s v="Smartphone"/>
    <s v="C1062"/>
    <s v="Returning"/>
    <n v="1"/>
    <n v="165000"/>
    <n v="0.1"/>
    <n v="148500"/>
    <n v="112000"/>
    <s v="No"/>
    <s v="Aisha"/>
    <n v="148500"/>
    <n v="0"/>
    <n v="112000"/>
    <n v="36500"/>
  </r>
  <r>
    <n v="100403"/>
    <d v="2026-04-24T00:00:00"/>
    <s v="PH-01"/>
    <x v="4"/>
    <s v="In-store"/>
    <s v="Home"/>
    <s v="Blender"/>
    <s v="C1149"/>
    <s v="New"/>
    <n v="3"/>
    <n v="42000"/>
    <n v="0.05"/>
    <n v="95760"/>
    <n v="28000"/>
    <s v="No"/>
    <s v="Fatima"/>
    <n v="119700"/>
    <n v="-23940"/>
    <n v="84000"/>
    <n v="35700"/>
  </r>
  <r>
    <n v="100404"/>
    <d v="2026-05-22T00:00:00"/>
    <s v="KN-01"/>
    <x v="2"/>
    <s v="Online"/>
    <s v="Home"/>
    <s v="Blender"/>
    <s v="C1123"/>
    <s v="Returning"/>
    <n v="1"/>
    <n v="42000"/>
    <n v="0"/>
    <n v="42000"/>
    <n v="28000"/>
    <s v="No"/>
    <s v="Fatima"/>
    <n v="42000"/>
    <n v="0"/>
    <n v="28000"/>
    <n v="14000"/>
  </r>
  <r>
    <n v="100405"/>
    <d v="2026-05-10T00:00:00"/>
    <s v="PH-01"/>
    <x v="4"/>
    <s v="Online"/>
    <s v="Home"/>
    <s v="Blender"/>
    <s v="C1182"/>
    <s v="New"/>
    <n v="3"/>
    <n v="42000"/>
    <n v="0"/>
    <n v="126000"/>
    <n v="28000"/>
    <s v="Yes"/>
    <s v="Grace"/>
    <n v="126000"/>
    <n v="0"/>
    <n v="84000"/>
    <n v="42000"/>
  </r>
  <r>
    <n v="100406"/>
    <d v="2026-07-11T00:00:00"/>
    <s v="AB-02"/>
    <x v="0"/>
    <s v="Online"/>
    <s v="Electronics"/>
    <s v="Power Bank"/>
    <s v="C1162"/>
    <s v="New"/>
    <n v="1"/>
    <n v="26000"/>
    <n v="0"/>
    <n v="26000"/>
    <n v="15000"/>
    <s v="No"/>
    <s v="Ibrahim"/>
    <n v="26000"/>
    <n v="0"/>
    <n v="15000"/>
    <n v="11000"/>
  </r>
  <r>
    <n v="100407"/>
    <d v="2026-07-19T00:00:00"/>
    <s v="LG-02"/>
    <x v="1"/>
    <s v="In-store"/>
    <s v="Electronics"/>
    <s v="Earbuds"/>
    <s v="C1116"/>
    <s v="Returning"/>
    <n v="2"/>
    <n v="32000"/>
    <n v="0.1"/>
    <n v="57600"/>
    <n v="19000"/>
    <s v="No"/>
    <s v="Kemi"/>
    <n v="57600"/>
    <n v="0"/>
    <n v="38000"/>
    <n v="19600"/>
  </r>
  <r>
    <n v="100408"/>
    <d v="2026-04-27T00:00:00"/>
    <s v="KN-01"/>
    <x v="2"/>
    <s v="Online"/>
    <s v="Electronics"/>
    <s v="Smartphone"/>
    <s v="C1001"/>
    <s v="Returning"/>
    <n v="1"/>
    <n v="165000"/>
    <n v="0.15"/>
    <n v="140250"/>
    <n v="112000"/>
    <s v="No"/>
    <s v="Kemi"/>
    <n v="140250"/>
    <n v="0"/>
    <n v="112000"/>
    <n v="28250"/>
  </r>
  <r>
    <n v="100409"/>
    <d v="2026-06-07T00:00:00"/>
    <s v="KN-01"/>
    <x v="2"/>
    <s v="Online"/>
    <s v="Accessories"/>
    <s v="USB Cable"/>
    <s v="C1081"/>
    <s v="Returning"/>
    <n v="2"/>
    <n v="6500"/>
    <n v="0.1"/>
    <n v="11700"/>
    <n v="2200"/>
    <s v="No"/>
    <s v="Bola"/>
    <n v="11700"/>
    <n v="0"/>
    <n v="4400"/>
    <n v="7300"/>
  </r>
  <r>
    <n v="100410"/>
    <d v="2026-04-25T00:00:00"/>
    <s v="PH-01"/>
    <x v="4"/>
    <s v="WhatsApp"/>
    <s v="Electronics"/>
    <s v="Earbuds"/>
    <s v="C1104"/>
    <s v="Returning"/>
    <n v="1"/>
    <n v="32000"/>
    <n v="0.15"/>
    <n v="27200"/>
    <n v="19000"/>
    <s v="No"/>
    <s v="Grace"/>
    <n v="27200"/>
    <n v="0"/>
    <n v="19000"/>
    <n v="8200"/>
  </r>
  <r>
    <n v="100411"/>
    <d v="2026-02-27T00:00:00"/>
    <s v="AB-01"/>
    <x v="0"/>
    <s v="Online"/>
    <s v="Home"/>
    <s v="Standing Fan"/>
    <s v="C1154"/>
    <s v="Returning"/>
    <n v="2"/>
    <n v="58000"/>
    <n v="0.2"/>
    <n v="92800"/>
    <n v="39000"/>
    <s v="Yes"/>
    <s v="Kemi"/>
    <n v="92800"/>
    <n v="0"/>
    <n v="78000"/>
    <n v="14800"/>
  </r>
  <r>
    <n v="100412"/>
    <d v="2026-06-21T00:00:00"/>
    <s v="IB-01"/>
    <x v="3"/>
    <s v="Online"/>
    <s v="Electronics"/>
    <s v="Smartphone"/>
    <s v="C1164"/>
    <s v="Returning"/>
    <n v="5"/>
    <n v="165000"/>
    <n v="0.1"/>
    <n v="742500"/>
    <n v="112000"/>
    <s v="No"/>
    <s v="Aisha"/>
    <n v="742500"/>
    <n v="0"/>
    <n v="560000"/>
    <n v="182500"/>
  </r>
  <r>
    <n v="100413"/>
    <d v="2026-06-04T00:00:00"/>
    <s v="PH-01"/>
    <x v="4"/>
    <s v="In-store"/>
    <s v="Home"/>
    <s v="Standing Fan"/>
    <s v="C1113"/>
    <s v="New"/>
    <n v="2"/>
    <n v="58000"/>
    <n v="0"/>
    <n v="116000"/>
    <n v="39000"/>
    <s v="No"/>
    <s v="Chinedu"/>
    <n v="116000"/>
    <n v="0"/>
    <n v="78000"/>
    <n v="38000"/>
  </r>
  <r>
    <n v="100414"/>
    <d v="2026-03-15T00:00:00"/>
    <s v="IB-01"/>
    <x v="3"/>
    <s v="In-store"/>
    <s v="Home"/>
    <s v="Blender"/>
    <s v="C1061"/>
    <s v="Returning"/>
    <n v="1"/>
    <n v="42000"/>
    <n v="0.1"/>
    <n v="37800"/>
    <n v="28000"/>
    <s v="No"/>
    <s v="Aisha"/>
    <n v="37800"/>
    <n v="0"/>
    <n v="28000"/>
    <n v="9800"/>
  </r>
  <r>
    <n v="100415"/>
    <d v="2026-04-07T00:00:00"/>
    <s v="LG-01"/>
    <x v="1"/>
    <s v="In-store"/>
    <s v="Accessories"/>
    <s v="USB Cable"/>
    <s v="C1018"/>
    <s v="Returning"/>
    <n v="2"/>
    <n v="6500"/>
    <n v="0.05"/>
    <n v="12350"/>
    <n v="2200"/>
    <s v="No"/>
    <s v="Bola"/>
    <n v="12350"/>
    <n v="0"/>
    <n v="4400"/>
    <n v="7950"/>
  </r>
  <r>
    <n v="100416"/>
    <d v="2026-01-06T00:00:00"/>
    <s v="PH-01"/>
    <x v="4"/>
    <s v="WhatsApp"/>
    <s v="Electronics"/>
    <s v="Power Bank"/>
    <s v="C1012"/>
    <s v="New"/>
    <n v="4"/>
    <n v="26000"/>
    <n v="0"/>
    <n v="104000"/>
    <n v="15000"/>
    <s v="Yes"/>
    <s v="David"/>
    <n v="104000"/>
    <n v="0"/>
    <n v="60000"/>
    <n v="44000"/>
  </r>
  <r>
    <n v="100417"/>
    <d v="2026-02-13T00:00:00"/>
    <s v="PH-01"/>
    <x v="4"/>
    <s v="Online"/>
    <s v="Electronics"/>
    <s v="Smartphone"/>
    <s v="C1027"/>
    <s v="Returning"/>
    <n v="4"/>
    <n v="165000"/>
    <n v="0.1"/>
    <n v="594000"/>
    <n v="112000"/>
    <s v="No"/>
    <s v="Bola"/>
    <n v="594000"/>
    <n v="0"/>
    <n v="448000"/>
    <n v="146000"/>
  </r>
  <r>
    <n v="100418"/>
    <d v="2026-07-11T00:00:00"/>
    <s v="PH-01"/>
    <x v="4"/>
    <s v="In-store"/>
    <s v="Electronics"/>
    <s v="Power Bank"/>
    <s v="C1088"/>
    <s v="Returning"/>
    <n v="3"/>
    <n v="26000"/>
    <n v="0"/>
    <n v="78000"/>
    <n v="15000"/>
    <s v="No"/>
    <s v="Chinedu"/>
    <n v="78000"/>
    <n v="0"/>
    <n v="45000"/>
    <n v="33000"/>
  </r>
  <r>
    <n v="100419"/>
    <d v="2026-08-22T00:00:00"/>
    <s v="PH-01"/>
    <x v="4"/>
    <s v="In-store"/>
    <s v="Home"/>
    <s v="Standing Fan"/>
    <s v="C1006"/>
    <s v="Returning"/>
    <n v="4"/>
    <n v="58000"/>
    <n v="0.05"/>
    <n v="220400"/>
    <n v="39000"/>
    <s v="No"/>
    <s v="Ibrahim"/>
    <n v="220400"/>
    <n v="0"/>
    <n v="156000"/>
    <n v="64400"/>
  </r>
  <r>
    <n v="100420"/>
    <d v="2026-02-26T00:00:00"/>
    <s v="KN-01"/>
    <x v="2"/>
    <s v="WhatsApp"/>
    <s v="Electronics"/>
    <s v="Smartphone"/>
    <s v="C1089"/>
    <s v="Returning"/>
    <n v="2"/>
    <n v="165000"/>
    <n v="0.05"/>
    <n v="313500"/>
    <n v="112000"/>
    <s v="No"/>
    <s v="Ibrahim"/>
    <n v="313500"/>
    <n v="0"/>
    <n v="224000"/>
    <n v="895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n v="100001"/>
    <d v="2026-05-25T00:00:00"/>
    <s v="AB-02"/>
    <s v="Abuja"/>
    <s v="WhatsApp"/>
    <x v="0"/>
    <s v="Standing Fan"/>
    <s v="C1141"/>
    <s v="New"/>
    <n v="1"/>
    <n v="58000"/>
    <n v="0"/>
    <n v="58000"/>
    <n v="39000"/>
    <s v="No"/>
    <s v="Chinedu"/>
    <n v="58000"/>
    <n v="0"/>
    <n v="39000"/>
    <n v="19000"/>
    <n v="5"/>
    <b v="0"/>
  </r>
  <r>
    <n v="100002"/>
    <d v="2026-04-17T00:00:00"/>
    <s v="LG-01"/>
    <s v="Lagos"/>
    <s v="WhatsApp"/>
    <x v="1"/>
    <s v="Smartphone"/>
    <s v="C1083"/>
    <s v="Returning"/>
    <n v="5"/>
    <n v="165000"/>
    <n v="0.05"/>
    <n v="627000"/>
    <n v="112000"/>
    <s v="No"/>
    <s v="Kemi"/>
    <n v="783750"/>
    <n v="-156750"/>
    <n v="560000"/>
    <n v="223750"/>
    <n v="5"/>
    <b v="0"/>
  </r>
  <r>
    <n v="100003"/>
    <d v="2026-02-26T00:00:00"/>
    <s v="AB-01"/>
    <s v="Abuja"/>
    <s v="WhatsApp"/>
    <x v="1"/>
    <s v="Earbuds"/>
    <s v="C1029"/>
    <s v="Returning"/>
    <n v="3"/>
    <n v="32000"/>
    <n v="0.2"/>
    <n v="76800"/>
    <n v="19000"/>
    <s v="No"/>
    <s v="Chinedu"/>
    <n v="76800"/>
    <n v="0"/>
    <n v="57000"/>
    <n v="19800"/>
    <n v="5"/>
    <b v="0"/>
  </r>
  <r>
    <n v="100004"/>
    <d v="2026-06-09T00:00:00"/>
    <s v="KN-01"/>
    <s v="Kano"/>
    <s v="Online"/>
    <x v="1"/>
    <s v="Power Bank"/>
    <s v="C1082"/>
    <s v="Returning"/>
    <n v="4"/>
    <n v="26000"/>
    <n v="0"/>
    <n v="104000"/>
    <n v="15000"/>
    <s v="No"/>
    <s v="Grace"/>
    <n v="104000"/>
    <n v="0"/>
    <n v="60000"/>
    <n v="44000"/>
    <n v="4"/>
    <b v="0"/>
  </r>
  <r>
    <n v="100005"/>
    <d v="2026-05-30T00:00:00"/>
    <s v="LG-01"/>
    <s v="Lagos"/>
    <s v="Online"/>
    <x v="1"/>
    <s v="Smartphone"/>
    <s v="C1180"/>
    <s v="Returning"/>
    <n v="1"/>
    <n v="165000"/>
    <n v="0.05"/>
    <n v="156750"/>
    <n v="112000"/>
    <s v="No"/>
    <s v="Chinedu"/>
    <n v="156750"/>
    <n v="0"/>
    <n v="112000"/>
    <n v="44750"/>
    <n v="5"/>
    <b v="0"/>
  </r>
  <r>
    <n v="100006"/>
    <d v="2026-08-04T00:00:00"/>
    <s v="LG-02"/>
    <s v="Lagos"/>
    <s v="In-store"/>
    <x v="2"/>
    <s v="USB Cable"/>
    <s v="C1161"/>
    <s v="Returning"/>
    <n v="3"/>
    <n v="6500"/>
    <n v="0.1"/>
    <n v="17550"/>
    <n v="2200"/>
    <s v="No"/>
    <s v="Bola"/>
    <n v="17550"/>
    <n v="0"/>
    <n v="6600"/>
    <n v="10950"/>
    <n v="5"/>
    <b v="0"/>
  </r>
  <r>
    <n v="100007"/>
    <d v="2026-03-09T00:00:00"/>
    <s v="LG-01"/>
    <s v="Lagos"/>
    <s v="In-store"/>
    <x v="1"/>
    <s v="Power Bank"/>
    <s v="C1007"/>
    <s v="New"/>
    <n v="3"/>
    <n v="26000"/>
    <n v="0.1"/>
    <n v="70200"/>
    <n v="15000"/>
    <s v="No"/>
    <s v="Chinedu"/>
    <n v="70200"/>
    <n v="0"/>
    <n v="45000"/>
    <n v="25200"/>
    <n v="5"/>
    <b v="0"/>
  </r>
  <r>
    <n v="100008"/>
    <d v="2026-07-26T00:00:00"/>
    <s v="KN-01"/>
    <s v="Kano"/>
    <s v="Online"/>
    <x v="1"/>
    <s v="Smartphone"/>
    <s v="C1051"/>
    <s v="Returning"/>
    <n v="5"/>
    <n v="165000"/>
    <n v="0.05"/>
    <n v="783750"/>
    <n v="112000"/>
    <s v="No"/>
    <s v="Kemi"/>
    <n v="783750"/>
    <n v="0"/>
    <n v="560000"/>
    <n v="223750"/>
    <n v="4"/>
    <b v="0"/>
  </r>
  <r>
    <n v="100009"/>
    <d v="2026-01-06T00:00:00"/>
    <s v="IB-01"/>
    <s v="Ibadan"/>
    <s v="In-store"/>
    <x v="0"/>
    <s v="Blender"/>
    <s v="C1111"/>
    <s v="Returning"/>
    <n v="3"/>
    <n v="42000"/>
    <n v="0.15"/>
    <n v="107100"/>
    <n v="28000"/>
    <s v="No"/>
    <s v="Fatima"/>
    <n v="107100"/>
    <n v="0"/>
    <n v="84000"/>
    <n v="23100"/>
    <n v="6"/>
    <b v="0"/>
  </r>
  <r>
    <n v="100010"/>
    <d v="2026-08-14T00:00:00"/>
    <s v="PH-01"/>
    <s v="Port Harcourt"/>
    <s v="In-store"/>
    <x v="1"/>
    <s v="Smartphone"/>
    <s v="C1153"/>
    <s v="Returning"/>
    <n v="1"/>
    <n v="165000"/>
    <n v="0"/>
    <n v="165000"/>
    <n v="112000"/>
    <s v="No"/>
    <s v="David"/>
    <n v="165000"/>
    <n v="0"/>
    <n v="112000"/>
    <n v="53000"/>
    <n v="13"/>
    <b v="0"/>
  </r>
  <r>
    <n v="100011"/>
    <d v="2026-06-27T00:00:00"/>
    <s v="LG-01"/>
    <s v="Lagos"/>
    <s v="In-store"/>
    <x v="1"/>
    <s v="Earbuds"/>
    <s v="C1059"/>
    <s v="Returning"/>
    <n v="1"/>
    <n v="32000"/>
    <n v="0"/>
    <n v="32000"/>
    <n v="19000"/>
    <s v="No"/>
    <s v="David"/>
    <n v="32000"/>
    <n v="0"/>
    <n v="19000"/>
    <n v="13000"/>
    <n v="5"/>
    <b v="0"/>
  </r>
  <r>
    <n v="100012"/>
    <d v="2026-04-08T00:00:00"/>
    <s v="KN-01"/>
    <s v="Kano"/>
    <s v="Online"/>
    <x v="2"/>
    <s v="Phone Case"/>
    <s v="C1028"/>
    <s v="New"/>
    <n v="1"/>
    <n v="9000"/>
    <n v="0"/>
    <n v="9000"/>
    <n v="3500"/>
    <s v="No"/>
    <s v="David"/>
    <n v="9000"/>
    <n v="0"/>
    <n v="3500"/>
    <n v="5500"/>
    <n v="4"/>
    <b v="0"/>
  </r>
  <r>
    <n v="100013"/>
    <d v="2026-05-11T00:00:00"/>
    <s v="IB-01"/>
    <s v="Ibadan"/>
    <s v="In-store"/>
    <x v="0"/>
    <s v="Electric Kettle"/>
    <s v="C1192"/>
    <s v="New"/>
    <n v="2"/>
    <n v="24000"/>
    <n v="0"/>
    <n v="48000"/>
    <n v="15000"/>
    <s v="No"/>
    <s v="Ibrahim"/>
    <n v="48000"/>
    <n v="0"/>
    <n v="30000"/>
    <n v="18000"/>
    <n v="6"/>
    <b v="0"/>
  </r>
  <r>
    <n v="100014"/>
    <d v="2026-06-22T00:00:00"/>
    <s v="AB-02"/>
    <s v="Abuja"/>
    <s v="WhatsApp"/>
    <x v="2"/>
    <s v="Backpack"/>
    <s v="C1022"/>
    <s v="Returning"/>
    <n v="2"/>
    <n v="28000"/>
    <n v="0.25"/>
    <n v="42000"/>
    <n v="16000"/>
    <s v="No"/>
    <s v="Fatima"/>
    <n v="42000"/>
    <n v="0"/>
    <n v="32000"/>
    <n v="10000"/>
    <n v="5"/>
    <b v="0"/>
  </r>
  <r>
    <n v="100015"/>
    <d v="2026-01-09T00:00:00"/>
    <s v="PH-01"/>
    <s v="Port Harcourt"/>
    <s v="In-store"/>
    <x v="1"/>
    <s v="Smartphone"/>
    <s v="C1084"/>
    <s v="New"/>
    <n v="2"/>
    <n v="165000"/>
    <n v="0"/>
    <n v="330000"/>
    <n v="112000"/>
    <s v="No"/>
    <s v="Grace"/>
    <n v="330000"/>
    <n v="0"/>
    <n v="224000"/>
    <n v="106000"/>
    <n v="13"/>
    <b v="0"/>
  </r>
  <r>
    <n v="100016"/>
    <d v="2026-07-25T00:00:00"/>
    <s v="LG-02"/>
    <s v="Lagos"/>
    <s v="Online"/>
    <x v="2"/>
    <s v="USB Cable"/>
    <s v="C1123"/>
    <s v="New"/>
    <n v="1"/>
    <n v="6500"/>
    <n v="0.1"/>
    <n v="4680"/>
    <n v="2200"/>
    <s v="No"/>
    <s v="Kemi"/>
    <n v="5850"/>
    <n v="-1170"/>
    <n v="2200"/>
    <n v="3650"/>
    <n v="5"/>
    <b v="0"/>
  </r>
  <r>
    <n v="100017"/>
    <d v="2026-01-10T00:00:00"/>
    <s v="KN-01"/>
    <s v="Kano"/>
    <s v="WhatsApp"/>
    <x v="0"/>
    <s v="Blender"/>
    <s v="C1134"/>
    <s v="New"/>
    <n v="2"/>
    <n v="42000"/>
    <n v="0"/>
    <n v="84000"/>
    <n v="28000"/>
    <s v="No"/>
    <s v="Ibrahim"/>
    <n v="84000"/>
    <n v="0"/>
    <n v="56000"/>
    <n v="28000"/>
    <n v="4"/>
    <b v="0"/>
  </r>
  <r>
    <n v="100018"/>
    <d v="2026-04-29T00:00:00"/>
    <s v="PH-01"/>
    <s v="Port Harcourt"/>
    <s v="In-store"/>
    <x v="2"/>
    <s v="USB Cable"/>
    <s v="C1100"/>
    <s v="Returning"/>
    <n v="22"/>
    <n v="6500"/>
    <n v="0.15"/>
    <n v="121550"/>
    <n v="2200"/>
    <s v="No"/>
    <s v="Kemi"/>
    <n v="121550"/>
    <n v="0"/>
    <n v="48400"/>
    <n v="73150"/>
    <n v="13"/>
    <b v="0"/>
  </r>
  <r>
    <n v="100019"/>
    <d v="2026-05-06T00:00:00"/>
    <s v="LG-01"/>
    <s v="Lagos"/>
    <s v="In-store"/>
    <x v="1"/>
    <s v="Power Bank"/>
    <s v="C1189"/>
    <s v="Returning"/>
    <n v="1"/>
    <n v="26000"/>
    <n v="0.15"/>
    <n v="22100"/>
    <n v="15000"/>
    <s v="No"/>
    <s v="Bola"/>
    <n v="22100"/>
    <n v="0"/>
    <n v="15000"/>
    <n v="7100"/>
    <n v="5"/>
    <b v="0"/>
  </r>
  <r>
    <n v="100020"/>
    <d v="2026-04-19T00:00:00"/>
    <s v="AB-02"/>
    <s v="Abuja"/>
    <s v="In-store"/>
    <x v="1"/>
    <s v="Power Bank"/>
    <s v="C1050"/>
    <s v="Returning"/>
    <n v="1"/>
    <n v="26000"/>
    <n v="0.25"/>
    <n v="19500"/>
    <n v="15000"/>
    <s v="No"/>
    <s v="Ibrahim"/>
    <n v="19500"/>
    <n v="0"/>
    <n v="15000"/>
    <n v="4500"/>
    <n v="5"/>
    <b v="0"/>
  </r>
  <r>
    <n v="100021"/>
    <d v="2026-05-06T00:00:00"/>
    <s v="AB-02"/>
    <s v="Abuja"/>
    <s v="WhatsApp"/>
    <x v="1"/>
    <s v="Power Bank"/>
    <s v="C1184"/>
    <s v="New"/>
    <n v="1"/>
    <n v="26000"/>
    <n v="0"/>
    <n v="26000"/>
    <n v="15000"/>
    <s v="No"/>
    <s v="Kemi"/>
    <n v="26000"/>
    <n v="0"/>
    <n v="15000"/>
    <n v="11000"/>
    <n v="5"/>
    <b v="0"/>
  </r>
  <r>
    <n v="100022"/>
    <d v="2026-01-11T00:00:00"/>
    <s v="IB-01"/>
    <s v="Ibadan"/>
    <s v="WhatsApp"/>
    <x v="2"/>
    <s v="Backpack"/>
    <s v="C1022"/>
    <s v="New"/>
    <n v="1"/>
    <n v="28000"/>
    <n v="0.05"/>
    <n v="26600"/>
    <n v="16000"/>
    <s v="No"/>
    <s v="Bola"/>
    <n v="26600"/>
    <n v="0"/>
    <n v="16000"/>
    <n v="10600"/>
    <n v="6"/>
    <b v="0"/>
  </r>
  <r>
    <n v="100023"/>
    <d v="2026-01-30T00:00:00"/>
    <s v="AB-01"/>
    <s v="Abuja"/>
    <s v="Online"/>
    <x v="1"/>
    <s v="Earbuds"/>
    <s v="C1004"/>
    <s v="Returning"/>
    <n v="1"/>
    <n v="32000"/>
    <n v="0.15"/>
    <n v="27200"/>
    <n v="19000"/>
    <s v="No"/>
    <s v="David"/>
    <n v="27200"/>
    <n v="0"/>
    <n v="19000"/>
    <n v="8200"/>
    <n v="5"/>
    <b v="0"/>
  </r>
  <r>
    <n v="100024"/>
    <d v="2026-05-08T00:00:00"/>
    <s v="AB-01"/>
    <s v="Abuja"/>
    <s v="In-store"/>
    <x v="0"/>
    <s v="Standing Fan"/>
    <s v="C1034"/>
    <s v="New"/>
    <n v="2"/>
    <n v="58000"/>
    <n v="0.2"/>
    <n v="92800"/>
    <n v="39000"/>
    <s v="Yes"/>
    <s v="Grace"/>
    <n v="92800"/>
    <n v="0"/>
    <n v="78000"/>
    <n v="14800"/>
    <n v="5"/>
    <b v="0"/>
  </r>
  <r>
    <n v="100025"/>
    <d v="2026-01-05T00:00:00"/>
    <s v="KN-01"/>
    <s v="Kano"/>
    <s v="In-store"/>
    <x v="0"/>
    <s v="Standing Fan"/>
    <s v="C1164"/>
    <s v="Returning"/>
    <n v="5"/>
    <n v="58000"/>
    <n v="0.05"/>
    <n v="275500"/>
    <n v="39000"/>
    <s v="No"/>
    <s v="David"/>
    <n v="275500"/>
    <n v="0"/>
    <n v="195000"/>
    <n v="80500"/>
    <n v="4"/>
    <b v="0"/>
  </r>
  <r>
    <n v="100026"/>
    <d v="2026-06-30T00:00:00"/>
    <s v="IB-01"/>
    <s v="Ibadan"/>
    <s v="In-store"/>
    <x v="2"/>
    <s v="Phone Case"/>
    <s v="C1155"/>
    <s v="Returning"/>
    <n v="2"/>
    <n v="9000"/>
    <n v="0.1"/>
    <n v="16200"/>
    <n v="3500"/>
    <s v="No"/>
    <s v="Chinedu"/>
    <n v="16200"/>
    <n v="0"/>
    <n v="7000"/>
    <n v="9200"/>
    <n v="6"/>
    <b v="0"/>
  </r>
  <r>
    <n v="100027"/>
    <d v="2026-04-30T00:00:00"/>
    <s v="KN-01"/>
    <s v="Kano"/>
    <s v="WhatsApp"/>
    <x v="0"/>
    <s v="Standing Fan"/>
    <s v="C1073"/>
    <s v="New"/>
    <n v="4"/>
    <n v="58000"/>
    <n v="0.05"/>
    <n v="220400"/>
    <n v="39000"/>
    <s v="No"/>
    <s v="David"/>
    <n v="220400"/>
    <n v="0"/>
    <n v="156000"/>
    <n v="64400"/>
    <n v="4"/>
    <b v="0"/>
  </r>
  <r>
    <n v="100028"/>
    <d v="2026-05-14T00:00:00"/>
    <s v="AB-01"/>
    <s v="Abuja"/>
    <s v="Online"/>
    <x v="1"/>
    <s v="Power Bank"/>
    <s v="C1136"/>
    <s v="Returning"/>
    <n v="22"/>
    <n v="26000"/>
    <n v="0.25"/>
    <n v="429000"/>
    <n v="15000"/>
    <s v="No"/>
    <s v="Bola"/>
    <n v="429000"/>
    <n v="0"/>
    <n v="330000"/>
    <n v="99000"/>
    <n v="5"/>
    <b v="0"/>
  </r>
  <r>
    <n v="100029"/>
    <d v="2026-03-22T00:00:00"/>
    <s v="AB-01"/>
    <s v="Abuja"/>
    <s v="In-store"/>
    <x v="0"/>
    <s v="Standing Fan"/>
    <s v="C1173"/>
    <s v="Returning"/>
    <n v="5"/>
    <n v="58000"/>
    <n v="0.1"/>
    <n v="261000"/>
    <n v="39000"/>
    <s v="No"/>
    <s v="Chinedu"/>
    <n v="261000"/>
    <n v="0"/>
    <n v="195000"/>
    <n v="66000"/>
    <n v="5"/>
    <b v="0"/>
  </r>
  <r>
    <n v="100030"/>
    <d v="2026-07-06T00:00:00"/>
    <s v="KN-01"/>
    <s v="Kano"/>
    <s v="Online"/>
    <x v="1"/>
    <s v="Power Bank"/>
    <s v="C1071"/>
    <s v="New"/>
    <n v="1"/>
    <n v="26000"/>
    <n v="0.05"/>
    <n v="24700"/>
    <n v="15000"/>
    <s v="No"/>
    <s v="David"/>
    <n v="24700"/>
    <n v="0"/>
    <n v="15000"/>
    <n v="9700"/>
    <n v="4"/>
    <b v="0"/>
  </r>
  <r>
    <n v="100031"/>
    <d v="2026-06-09T00:00:00"/>
    <s v="AB-01"/>
    <s v="Abuja"/>
    <s v="In-store"/>
    <x v="0"/>
    <s v="Standing Fan"/>
    <s v="C1047"/>
    <s v="New"/>
    <n v="2"/>
    <n v="58000"/>
    <n v="0.15"/>
    <n v="98600"/>
    <n v="39000"/>
    <s v="No"/>
    <s v="Aisha"/>
    <n v="98600"/>
    <n v="0"/>
    <n v="78000"/>
    <n v="20600"/>
    <n v="5"/>
    <b v="0"/>
  </r>
  <r>
    <n v="100032"/>
    <d v="2026-03-28T00:00:00"/>
    <s v="PH-01"/>
    <s v="Port Harcourt"/>
    <s v="Online"/>
    <x v="0"/>
    <s v="Electric Kettle"/>
    <s v="C1051"/>
    <s v="New"/>
    <n v="1"/>
    <n v="24000"/>
    <n v="0.05"/>
    <n v="22800"/>
    <n v="15000"/>
    <s v="No"/>
    <s v="Kemi"/>
    <n v="22800"/>
    <n v="0"/>
    <n v="15000"/>
    <n v="7800"/>
    <n v="13"/>
    <b v="0"/>
  </r>
  <r>
    <n v="100033"/>
    <d v="2026-05-10T00:00:00"/>
    <s v="LG-01"/>
    <s v="Lagos"/>
    <s v="In-store"/>
    <x v="0"/>
    <s v="Standing Fan"/>
    <s v="C1094"/>
    <s v="New"/>
    <n v="3"/>
    <n v="58000"/>
    <n v="0"/>
    <n v="174000"/>
    <n v="39000"/>
    <s v="No"/>
    <s v="Aisha"/>
    <n v="174000"/>
    <n v="0"/>
    <n v="117000"/>
    <n v="57000"/>
    <n v="5"/>
    <b v="0"/>
  </r>
  <r>
    <n v="100034"/>
    <d v="2026-05-15T00:00:00"/>
    <s v="PH-01"/>
    <s v="Port Harcourt"/>
    <s v="In-store"/>
    <x v="0"/>
    <s v="Standing Fan"/>
    <s v="C1089"/>
    <s v="Returning"/>
    <n v="1"/>
    <n v="58000"/>
    <n v="0.15"/>
    <n v="49300"/>
    <n v="39000"/>
    <s v="No"/>
    <s v="Bola"/>
    <n v="49300"/>
    <n v="0"/>
    <n v="39000"/>
    <n v="10300"/>
    <n v="13"/>
    <b v="0"/>
  </r>
  <r>
    <n v="100035"/>
    <d v="2026-02-23T00:00:00"/>
    <s v="KN-01"/>
    <s v="Kano"/>
    <s v="In-store"/>
    <x v="2"/>
    <s v="Backpack"/>
    <s v="C1048"/>
    <s v="Returning"/>
    <n v="25"/>
    <n v="28000"/>
    <n v="0.05"/>
    <n v="665000"/>
    <n v="16000"/>
    <s v="No"/>
    <s v="Ibrahim"/>
    <n v="665000"/>
    <n v="0"/>
    <n v="400000"/>
    <n v="265000"/>
    <n v="4"/>
    <b v="0"/>
  </r>
  <r>
    <n v="100036"/>
    <d v="2026-02-23T00:00:00"/>
    <s v="KN-01"/>
    <s v="Kano"/>
    <s v="In-store"/>
    <x v="1"/>
    <s v="Earbuds"/>
    <s v="C1056"/>
    <s v="New"/>
    <n v="2"/>
    <n v="32000"/>
    <n v="0.05"/>
    <n v="60800"/>
    <n v="19000"/>
    <s v="Yes"/>
    <s v="Bola"/>
    <n v="60800"/>
    <n v="0"/>
    <n v="38000"/>
    <n v="22800"/>
    <n v="4"/>
    <b v="0"/>
  </r>
  <r>
    <n v="100037"/>
    <d v="2026-04-12T00:00:00"/>
    <s v="AB-01"/>
    <s v="Abuja"/>
    <s v="In-store"/>
    <x v="2"/>
    <s v="Backpack"/>
    <s v="C1036"/>
    <s v="New"/>
    <n v="2"/>
    <n v="28000"/>
    <n v="0"/>
    <n v="56000"/>
    <n v="16000"/>
    <s v="No"/>
    <s v="Grace"/>
    <n v="56000"/>
    <n v="0"/>
    <n v="32000"/>
    <n v="24000"/>
    <n v="5"/>
    <b v="0"/>
  </r>
  <r>
    <n v="100038"/>
    <d v="2026-01-15T00:00:00"/>
    <s v="KN-01"/>
    <s v="Kano"/>
    <s v="Online"/>
    <x v="1"/>
    <s v="Earbuds"/>
    <s v="C1138"/>
    <s v="Returning"/>
    <n v="2"/>
    <n v="32000"/>
    <n v="0"/>
    <n v="64000"/>
    <n v="19000"/>
    <s v="No"/>
    <s v="Aisha"/>
    <n v="64000"/>
    <n v="0"/>
    <n v="38000"/>
    <n v="26000"/>
    <n v="4"/>
    <b v="0"/>
  </r>
  <r>
    <n v="100039"/>
    <d v="2026-04-04T00:00:00"/>
    <s v="AB-02"/>
    <s v="Abuja"/>
    <s v="Online"/>
    <x v="2"/>
    <s v="USB Cable"/>
    <s v="C1044"/>
    <s v="New"/>
    <n v="3"/>
    <n v="6500"/>
    <n v="0.1"/>
    <n v="17550"/>
    <n v="2200"/>
    <s v="No"/>
    <s v="Grace"/>
    <n v="17550"/>
    <n v="0"/>
    <n v="6600"/>
    <n v="10950"/>
    <n v="5"/>
    <b v="0"/>
  </r>
  <r>
    <n v="100040"/>
    <d v="2026-05-03T00:00:00"/>
    <s v="AB-01"/>
    <s v="Abuja"/>
    <s v="WhatsApp"/>
    <x v="0"/>
    <s v="Standing Fan"/>
    <s v="C1063"/>
    <s v="Returning"/>
    <n v="1"/>
    <n v="58000"/>
    <n v="0.05"/>
    <n v="55100"/>
    <n v="39000"/>
    <s v="No"/>
    <s v="Kemi"/>
    <n v="55100"/>
    <n v="0"/>
    <n v="39000"/>
    <n v="16100"/>
    <n v="5"/>
    <b v="0"/>
  </r>
  <r>
    <n v="100041"/>
    <d v="2026-01-13T00:00:00"/>
    <s v="PH-01"/>
    <s v="Port Harcourt"/>
    <s v="WhatsApp"/>
    <x v="1"/>
    <s v="Earbuds"/>
    <s v="C1001"/>
    <s v="Returning"/>
    <n v="3"/>
    <n v="32000"/>
    <n v="0.1"/>
    <n v="86400"/>
    <n v="19000"/>
    <s v="No"/>
    <s v="Bola"/>
    <n v="86400"/>
    <n v="0"/>
    <n v="57000"/>
    <n v="29400"/>
    <n v="13"/>
    <b v="0"/>
  </r>
  <r>
    <n v="100042"/>
    <d v="2026-05-09T00:00:00"/>
    <s v="IB-01"/>
    <s v="Ibadan"/>
    <s v="WhatsApp"/>
    <x v="1"/>
    <s v="Smartphone"/>
    <s v="C1174"/>
    <s v="Returning"/>
    <n v="2"/>
    <n v="165000"/>
    <n v="0"/>
    <n v="330000"/>
    <n v="112000"/>
    <s v="No"/>
    <s v="Chinedu"/>
    <n v="330000"/>
    <n v="0"/>
    <n v="224000"/>
    <n v="106000"/>
    <n v="6"/>
    <b v="0"/>
  </r>
  <r>
    <n v="100043"/>
    <d v="2026-06-15T00:00:00"/>
    <s v="IB-01"/>
    <s v="Ibadan"/>
    <s v="In-store"/>
    <x v="0"/>
    <s v="Electric Kettle"/>
    <s v="C1169"/>
    <s v="Returning"/>
    <n v="2"/>
    <n v="24000"/>
    <n v="0.15"/>
    <n v="40800"/>
    <n v="15000"/>
    <s v="No"/>
    <s v="Bola"/>
    <n v="40800"/>
    <n v="0"/>
    <n v="30000"/>
    <n v="10800"/>
    <n v="6"/>
    <b v="0"/>
  </r>
  <r>
    <n v="100044"/>
    <d v="2026-05-25T00:00:00"/>
    <s v="AB-01"/>
    <s v="Abuja"/>
    <s v="Online"/>
    <x v="0"/>
    <s v="Electric Kettle"/>
    <s v="C1081"/>
    <s v="Returning"/>
    <n v="1"/>
    <n v="24000"/>
    <n v="0.2"/>
    <n v="19200"/>
    <n v="15000"/>
    <s v="No"/>
    <s v="Fatima"/>
    <n v="19200"/>
    <n v="0"/>
    <n v="15000"/>
    <n v="4200"/>
    <n v="5"/>
    <b v="0"/>
  </r>
  <r>
    <n v="100045"/>
    <d v="2026-01-07T00:00:00"/>
    <s v="LG-02"/>
    <s v="Lagos"/>
    <s v="Online"/>
    <x v="1"/>
    <s v="Earbuds"/>
    <s v="C1113"/>
    <s v="Returning"/>
    <n v="1"/>
    <n v="32000"/>
    <n v="0"/>
    <n v="32000"/>
    <n v="19000"/>
    <s v="Yes"/>
    <s v="Fatima"/>
    <n v="32000"/>
    <n v="0"/>
    <n v="19000"/>
    <n v="13000"/>
    <n v="5"/>
    <b v="0"/>
  </r>
  <r>
    <n v="100046"/>
    <d v="2026-05-03T00:00:00"/>
    <s v="KN-01"/>
    <s v="Kano"/>
    <s v="In-store"/>
    <x v="0"/>
    <s v="Electric Kettle"/>
    <s v="C1068"/>
    <s v="Returning"/>
    <n v="3"/>
    <n v="24000"/>
    <n v="0.05"/>
    <n v="68400"/>
    <n v="15000"/>
    <s v="No"/>
    <s v="Fatima"/>
    <n v="68400"/>
    <n v="0"/>
    <n v="45000"/>
    <n v="23400"/>
    <n v="4"/>
    <b v="0"/>
  </r>
  <r>
    <n v="100047"/>
    <d v="2026-04-20T00:00:00"/>
    <s v="LG-01"/>
    <s v="Lagos"/>
    <s v="In-store"/>
    <x v="0"/>
    <s v="Standing Fan"/>
    <s v="C1179"/>
    <s v="Returning"/>
    <n v="4"/>
    <n v="58000"/>
    <n v="0"/>
    <n v="232000"/>
    <n v="39000"/>
    <s v="No"/>
    <s v="Aisha"/>
    <n v="232000"/>
    <n v="0"/>
    <n v="156000"/>
    <n v="76000"/>
    <n v="5"/>
    <b v="0"/>
  </r>
  <r>
    <n v="100048"/>
    <d v="2026-01-17T00:00:00"/>
    <s v="KN-01"/>
    <s v="Kano"/>
    <s v="In-store"/>
    <x v="1"/>
    <s v="Power Bank"/>
    <s v="C1135"/>
    <s v="New"/>
    <n v="2"/>
    <n v="26000"/>
    <n v="0.05"/>
    <n v="49400"/>
    <n v="15000"/>
    <s v="No"/>
    <s v="Grace"/>
    <n v="49400"/>
    <n v="0"/>
    <n v="30000"/>
    <n v="19400"/>
    <n v="4"/>
    <b v="0"/>
  </r>
  <r>
    <n v="100049"/>
    <d v="2026-06-09T00:00:00"/>
    <s v="IB-01"/>
    <s v="Ibadan"/>
    <s v="In-store"/>
    <x v="2"/>
    <s v="USB Cable"/>
    <s v="C1094"/>
    <s v="New"/>
    <n v="5"/>
    <n v="6500"/>
    <n v="0.05"/>
    <n v="30875"/>
    <n v="2200"/>
    <s v="No"/>
    <s v="Aisha"/>
    <n v="30875"/>
    <n v="0"/>
    <n v="11000"/>
    <n v="19875"/>
    <n v="6"/>
    <b v="0"/>
  </r>
  <r>
    <n v="100050"/>
    <d v="2026-02-03T00:00:00"/>
    <s v="KN-01"/>
    <s v="Kano"/>
    <s v="In-store"/>
    <x v="2"/>
    <s v="Phone Case"/>
    <s v="C1080"/>
    <s v="Returning"/>
    <n v="3"/>
    <n v="9000"/>
    <n v="0"/>
    <n v="27000"/>
    <n v="3500"/>
    <s v="No"/>
    <s v="Chinedu"/>
    <n v="27000"/>
    <n v="0"/>
    <n v="10500"/>
    <n v="16500"/>
    <n v="4"/>
    <b v="0"/>
  </r>
  <r>
    <n v="100051"/>
    <d v="2026-01-13T00:00:00"/>
    <s v="AB-02"/>
    <s v="Abuja"/>
    <s v="Online"/>
    <x v="0"/>
    <s v="Blender"/>
    <s v="C1111"/>
    <s v="New"/>
    <n v="2"/>
    <n v="42000"/>
    <n v="0.1"/>
    <n v="75600"/>
    <n v="28000"/>
    <s v="No"/>
    <s v="Chinedu"/>
    <n v="75600"/>
    <n v="0"/>
    <n v="56000"/>
    <n v="19600"/>
    <n v="5"/>
    <b v="0"/>
  </r>
  <r>
    <n v="100052"/>
    <d v="2026-01-11T00:00:00"/>
    <s v="PH-01"/>
    <s v="Port Harcourt"/>
    <s v="WhatsApp"/>
    <x v="1"/>
    <s v="Smartphone"/>
    <s v="C1005"/>
    <s v="Returning"/>
    <n v="4"/>
    <n v="165000"/>
    <n v="0"/>
    <n v="660000"/>
    <n v="112000"/>
    <s v="No"/>
    <s v="Chinedu"/>
    <n v="660000"/>
    <n v="0"/>
    <n v="448000"/>
    <n v="212000"/>
    <n v="13"/>
    <b v="0"/>
  </r>
  <r>
    <n v="100053"/>
    <d v="2026-06-07T00:00:00"/>
    <s v="KN-01"/>
    <s v="Kano"/>
    <s v="In-store"/>
    <x v="2"/>
    <s v="USB Cable"/>
    <s v="C1193"/>
    <s v="Returning"/>
    <n v="4"/>
    <n v="6500"/>
    <n v="0"/>
    <n v="26000"/>
    <n v="2200"/>
    <s v="No"/>
    <s v="Ibrahim"/>
    <n v="26000"/>
    <n v="0"/>
    <n v="8800"/>
    <n v="17200"/>
    <n v="4"/>
    <b v="0"/>
  </r>
  <r>
    <n v="100054"/>
    <d v="2026-04-28T00:00:00"/>
    <s v="AB-01"/>
    <s v="Abuja"/>
    <s v="In-store"/>
    <x v="2"/>
    <s v="Phone Case"/>
    <s v="C1030"/>
    <s v="Returning"/>
    <n v="1"/>
    <n v="9000"/>
    <n v="0.1"/>
    <n v="8100"/>
    <n v="3500"/>
    <s v="No"/>
    <s v="Aisha"/>
    <n v="8100"/>
    <n v="0"/>
    <n v="3500"/>
    <n v="4600"/>
    <n v="5"/>
    <b v="0"/>
  </r>
  <r>
    <n v="100055"/>
    <d v="2026-06-05T00:00:00"/>
    <s v="KN-01"/>
    <s v="Kano"/>
    <s v="In-store"/>
    <x v="1"/>
    <s v="Power Bank"/>
    <s v="C1019"/>
    <s v="New"/>
    <n v="2"/>
    <n v="26000"/>
    <n v="0.15"/>
    <n v="44200"/>
    <n v="15000"/>
    <s v="No"/>
    <s v="Bola"/>
    <n v="44200"/>
    <n v="0"/>
    <n v="30000"/>
    <n v="14200"/>
    <n v="4"/>
    <b v="0"/>
  </r>
  <r>
    <n v="100056"/>
    <d v="2026-06-18T00:00:00"/>
    <s v="KN-01"/>
    <s v="Kano"/>
    <s v="In-store"/>
    <x v="2"/>
    <s v="Phone Case"/>
    <s v="C1187"/>
    <s v="New"/>
    <n v="1"/>
    <n v="9000"/>
    <n v="0.05"/>
    <n v="6840"/>
    <n v="3500"/>
    <s v="No"/>
    <s v="Bola"/>
    <n v="8550"/>
    <n v="-1710"/>
    <n v="3500"/>
    <n v="5050"/>
    <n v="4"/>
    <b v="0"/>
  </r>
  <r>
    <n v="100057"/>
    <d v="2026-06-23T00:00:00"/>
    <s v="IB-01"/>
    <s v="Ibadan"/>
    <s v="Online"/>
    <x v="1"/>
    <s v="Power Bank"/>
    <s v="C1190"/>
    <s v="New"/>
    <n v="1"/>
    <n v="26000"/>
    <n v="0.15"/>
    <n v="22100"/>
    <n v="15000"/>
    <s v="No"/>
    <s v="Fatima"/>
    <n v="22100"/>
    <n v="0"/>
    <n v="15000"/>
    <n v="7100"/>
    <n v="6"/>
    <b v="0"/>
  </r>
  <r>
    <n v="100058"/>
    <d v="2026-04-28T00:00:00"/>
    <s v="KN-01"/>
    <s v="Kano"/>
    <s v="In-store"/>
    <x v="2"/>
    <s v="Backpack"/>
    <s v="C1069"/>
    <s v="Returning"/>
    <n v="2"/>
    <n v="28000"/>
    <n v="0"/>
    <n v="56000"/>
    <n v="16000"/>
    <s v="No"/>
    <s v="Aisha"/>
    <n v="56000"/>
    <n v="0"/>
    <n v="32000"/>
    <n v="24000"/>
    <n v="4"/>
    <b v="0"/>
  </r>
  <r>
    <n v="100059"/>
    <d v="2026-01-17T00:00:00"/>
    <s v="LG-02"/>
    <s v="Lagos"/>
    <s v="Online"/>
    <x v="0"/>
    <s v="Blender"/>
    <s v="C1074"/>
    <s v="Returning"/>
    <n v="2"/>
    <n v="42000"/>
    <n v="0.1"/>
    <n v="75600"/>
    <n v="28000"/>
    <s v="No"/>
    <s v="Aisha"/>
    <n v="75600"/>
    <n v="0"/>
    <n v="56000"/>
    <n v="19600"/>
    <n v="5"/>
    <b v="0"/>
  </r>
  <r>
    <n v="100060"/>
    <d v="2026-01-24T00:00:00"/>
    <s v="IB-01"/>
    <s v="Ibadan"/>
    <s v="Online"/>
    <x v="1"/>
    <s v="Earbuds"/>
    <s v="C1156"/>
    <s v="Returning"/>
    <n v="1"/>
    <n v="32000"/>
    <n v="0.1"/>
    <n v="28800"/>
    <n v="19000"/>
    <s v="No"/>
    <s v="Bola"/>
    <n v="28800"/>
    <n v="0"/>
    <n v="19000"/>
    <n v="9800"/>
    <n v="6"/>
    <b v="0"/>
  </r>
  <r>
    <n v="100061"/>
    <d v="2026-08-17T00:00:00"/>
    <s v="LG-02"/>
    <s v="Lagos"/>
    <s v="In-store"/>
    <x v="1"/>
    <s v="Earbuds"/>
    <s v="C1039"/>
    <s v="Returning"/>
    <n v="1"/>
    <n v="32000"/>
    <n v="0.15"/>
    <n v="27200"/>
    <n v="19000"/>
    <s v="No"/>
    <s v="Aisha"/>
    <n v="27200"/>
    <n v="0"/>
    <n v="19000"/>
    <n v="8200"/>
    <n v="5"/>
    <b v="0"/>
  </r>
  <r>
    <n v="100062"/>
    <d v="2026-05-19T00:00:00"/>
    <s v="PH-01"/>
    <s v="Port Harcourt"/>
    <s v="Online"/>
    <x v="1"/>
    <s v="Smartphone"/>
    <s v="C1045"/>
    <s v="New"/>
    <n v="3"/>
    <n v="165000"/>
    <n v="0"/>
    <n v="495000"/>
    <n v="112000"/>
    <s v="No"/>
    <s v="Aisha"/>
    <n v="495000"/>
    <n v="0"/>
    <n v="336000"/>
    <n v="159000"/>
    <n v="13"/>
    <b v="0"/>
  </r>
  <r>
    <n v="100063"/>
    <d v="2026-04-02T00:00:00"/>
    <s v="LG-02"/>
    <s v="Lagos"/>
    <s v="In-store"/>
    <x v="0"/>
    <s v="Standing Fan"/>
    <s v="C1164"/>
    <s v="New"/>
    <n v="1"/>
    <n v="58000"/>
    <n v="0"/>
    <n v="58000"/>
    <n v="39000"/>
    <s v="No"/>
    <s v="Fatima"/>
    <n v="58000"/>
    <n v="0"/>
    <n v="39000"/>
    <n v="19000"/>
    <n v="5"/>
    <b v="0"/>
  </r>
  <r>
    <n v="100064"/>
    <d v="2026-07-21T00:00:00"/>
    <s v="LG-01"/>
    <s v="Lagos"/>
    <s v="WhatsApp"/>
    <x v="0"/>
    <s v="Electric Kettle"/>
    <s v="C1179"/>
    <s v="New"/>
    <n v="1"/>
    <n v="24000"/>
    <n v="0.05"/>
    <n v="22800"/>
    <n v="15000"/>
    <s v="No"/>
    <s v="Kemi"/>
    <n v="22800"/>
    <n v="0"/>
    <n v="15000"/>
    <n v="7800"/>
    <n v="5"/>
    <b v="0"/>
  </r>
  <r>
    <n v="100065"/>
    <d v="2026-05-30T00:00:00"/>
    <s v="PH-01"/>
    <s v="Port Harcourt"/>
    <s v="In-store"/>
    <x v="1"/>
    <s v="Smartphone"/>
    <s v="C1055"/>
    <s v="Returning"/>
    <n v="4"/>
    <n v="165000"/>
    <n v="0.1"/>
    <n v="594000"/>
    <n v="112000"/>
    <s v="No"/>
    <s v="David"/>
    <n v="594000"/>
    <n v="0"/>
    <n v="448000"/>
    <n v="146000"/>
    <n v="13"/>
    <b v="0"/>
  </r>
  <r>
    <n v="100066"/>
    <d v="2026-03-26T00:00:00"/>
    <s v="IB-01"/>
    <s v="Ibadan"/>
    <s v="Online"/>
    <x v="0"/>
    <s v="Blender"/>
    <s v="C1106"/>
    <s v="Returning"/>
    <n v="3"/>
    <n v="42000"/>
    <n v="0.1"/>
    <n v="113400"/>
    <n v="28000"/>
    <s v="No"/>
    <s v="Kemi"/>
    <n v="113400"/>
    <n v="0"/>
    <n v="84000"/>
    <n v="29400"/>
    <n v="6"/>
    <b v="0"/>
  </r>
  <r>
    <n v="100067"/>
    <d v="2026-07-07T00:00:00"/>
    <s v="AB-02"/>
    <s v="Abuja"/>
    <s v="WhatsApp"/>
    <x v="2"/>
    <s v="Backpack"/>
    <s v="C1157"/>
    <s v="New"/>
    <n v="3"/>
    <n v="28000"/>
    <n v="0.15"/>
    <n v="57120"/>
    <n v="16000"/>
    <s v="No"/>
    <s v="David"/>
    <n v="71400"/>
    <n v="-14280"/>
    <n v="48000"/>
    <n v="23400"/>
    <n v="5"/>
    <b v="0"/>
  </r>
  <r>
    <n v="100068"/>
    <d v="2026-03-30T00:00:00"/>
    <s v="AB-02"/>
    <s v="Abuja"/>
    <s v="Online"/>
    <x v="2"/>
    <s v="Backpack"/>
    <s v="C1000"/>
    <s v="New"/>
    <n v="4"/>
    <n v="28000"/>
    <n v="0.05"/>
    <n v="106400"/>
    <n v="16000"/>
    <s v="No"/>
    <s v="David"/>
    <n v="106400"/>
    <n v="0"/>
    <n v="64000"/>
    <n v="42400"/>
    <n v="5"/>
    <b v="0"/>
  </r>
  <r>
    <n v="100069"/>
    <d v="2026-03-11T00:00:00"/>
    <s v="PH-01"/>
    <s v="Port Harcourt"/>
    <s v="In-store"/>
    <x v="1"/>
    <s v="Smartphone"/>
    <s v="C1032"/>
    <s v="New"/>
    <n v="3"/>
    <n v="165000"/>
    <n v="0.05"/>
    <n v="470250"/>
    <n v="112000"/>
    <s v="No"/>
    <s v="Bola"/>
    <n v="470250"/>
    <n v="0"/>
    <n v="336000"/>
    <n v="134250"/>
    <n v="13"/>
    <b v="0"/>
  </r>
  <r>
    <n v="100070"/>
    <d v="2026-05-05T00:00:00"/>
    <s v="PH-01"/>
    <s v="Port Harcourt"/>
    <s v="In-store"/>
    <x v="0"/>
    <s v="Standing Fan"/>
    <s v="C1024"/>
    <s v="New"/>
    <n v="3"/>
    <n v="58000"/>
    <n v="0"/>
    <n v="174000"/>
    <n v="39000"/>
    <s v="No"/>
    <s v="Ibrahim"/>
    <n v="174000"/>
    <n v="0"/>
    <n v="117000"/>
    <n v="57000"/>
    <n v="13"/>
    <b v="0"/>
  </r>
  <r>
    <n v="100071"/>
    <d v="2026-01-06T00:00:00"/>
    <s v="LG-02"/>
    <s v="Lagos"/>
    <s v="Online"/>
    <x v="1"/>
    <s v="Power Bank"/>
    <s v="C1018"/>
    <s v="Returning"/>
    <n v="4"/>
    <n v="26000"/>
    <n v="0.1"/>
    <n v="93600"/>
    <n v="15000"/>
    <s v="No"/>
    <s v="Chinedu"/>
    <n v="93600"/>
    <n v="0"/>
    <n v="60000"/>
    <n v="33600"/>
    <n v="5"/>
    <b v="0"/>
  </r>
  <r>
    <n v="100072"/>
    <d v="2026-06-09T00:00:00"/>
    <s v="IB-01"/>
    <s v="Ibadan"/>
    <s v="In-store"/>
    <x v="0"/>
    <s v="Standing Fan"/>
    <s v="C1058"/>
    <s v="New"/>
    <n v="3"/>
    <n v="58000"/>
    <n v="0.1"/>
    <n v="125280"/>
    <n v="39000"/>
    <s v="No"/>
    <s v="Grace"/>
    <n v="156600"/>
    <n v="-31320"/>
    <n v="117000"/>
    <n v="39600"/>
    <n v="6"/>
    <b v="0"/>
  </r>
  <r>
    <n v="100073"/>
    <d v="2026-03-05T00:00:00"/>
    <s v="AB-01"/>
    <s v="Abuja"/>
    <s v="Online"/>
    <x v="1"/>
    <s v="Power Bank"/>
    <s v="C1086"/>
    <s v="Returning"/>
    <n v="1"/>
    <n v="26000"/>
    <n v="0.1"/>
    <n v="23400"/>
    <n v="15000"/>
    <s v="Yes"/>
    <s v="Bola"/>
    <n v="23400"/>
    <n v="0"/>
    <n v="15000"/>
    <n v="8400"/>
    <n v="5"/>
    <b v="0"/>
  </r>
  <r>
    <n v="100074"/>
    <d v="2026-04-20T00:00:00"/>
    <s v="IB-01"/>
    <s v="Ibadan"/>
    <s v="In-store"/>
    <x v="2"/>
    <s v="USB Cable"/>
    <s v="C1043"/>
    <s v="New"/>
    <n v="4"/>
    <n v="6500"/>
    <n v="0.05"/>
    <n v="24700"/>
    <n v="2200"/>
    <s v="No"/>
    <s v="Chinedu"/>
    <n v="24700"/>
    <n v="0"/>
    <n v="8800"/>
    <n v="15900"/>
    <n v="6"/>
    <b v="0"/>
  </r>
  <r>
    <n v="100075"/>
    <d v="2026-08-22T00:00:00"/>
    <s v="LG-01"/>
    <s v="Lagos"/>
    <s v="In-store"/>
    <x v="1"/>
    <s v="Smartphone"/>
    <s v="C1188"/>
    <s v="Returning"/>
    <n v="1"/>
    <n v="165000"/>
    <n v="0.05"/>
    <n v="156750"/>
    <n v="112000"/>
    <s v="No"/>
    <s v="Fatima"/>
    <n v="156750"/>
    <n v="0"/>
    <n v="112000"/>
    <n v="44750"/>
    <n v="5"/>
    <b v="0"/>
  </r>
  <r>
    <n v="100076"/>
    <d v="2026-02-11T00:00:00"/>
    <s v="LG-01"/>
    <s v="Lagos"/>
    <s v="In-store"/>
    <x v="1"/>
    <s v="Power Bank"/>
    <s v="C1104"/>
    <s v="New"/>
    <n v="4"/>
    <n v="26000"/>
    <n v="0"/>
    <n v="104000"/>
    <n v="15000"/>
    <s v="No"/>
    <s v="Aisha"/>
    <n v="104000"/>
    <n v="0"/>
    <n v="60000"/>
    <n v="44000"/>
    <n v="5"/>
    <b v="0"/>
  </r>
  <r>
    <n v="100077"/>
    <d v="2026-05-14T00:00:00"/>
    <s v="LG-02"/>
    <s v="Lagos"/>
    <s v="In-store"/>
    <x v="2"/>
    <s v="Phone Case"/>
    <s v="C1192"/>
    <s v="New"/>
    <n v="2"/>
    <n v="9000"/>
    <n v="0.15"/>
    <n v="15300"/>
    <n v="3500"/>
    <s v="No"/>
    <s v="Chinedu"/>
    <n v="15300"/>
    <n v="0"/>
    <n v="7000"/>
    <n v="8300"/>
    <n v="5"/>
    <b v="0"/>
  </r>
  <r>
    <n v="100078"/>
    <d v="2026-07-06T00:00:00"/>
    <s v="LG-01"/>
    <s v="Lagos"/>
    <s v="In-store"/>
    <x v="2"/>
    <s v="USB Cable"/>
    <s v="C1108"/>
    <s v="Returning"/>
    <n v="2"/>
    <n v="6500"/>
    <n v="0.1"/>
    <n v="11700"/>
    <n v="2200"/>
    <s v="No"/>
    <s v="Kemi"/>
    <n v="11700"/>
    <n v="0"/>
    <n v="4400"/>
    <n v="7300"/>
    <n v="5"/>
    <b v="0"/>
  </r>
  <r>
    <n v="100079"/>
    <d v="2026-02-05T00:00:00"/>
    <s v="LG-02"/>
    <s v="Lagos"/>
    <s v="In-store"/>
    <x v="0"/>
    <s v="Standing Fan"/>
    <s v="C1159"/>
    <s v="Returning"/>
    <n v="2"/>
    <n v="58000"/>
    <n v="0.1"/>
    <n v="104400"/>
    <n v="39000"/>
    <s v="No"/>
    <s v="Aisha"/>
    <n v="104400"/>
    <n v="0"/>
    <n v="78000"/>
    <n v="26400"/>
    <n v="5"/>
    <b v="0"/>
  </r>
  <r>
    <n v="100080"/>
    <d v="2026-08-21T00:00:00"/>
    <s v="IB-01"/>
    <s v="Ibadan"/>
    <s v="Online"/>
    <x v="2"/>
    <s v="Backpack"/>
    <s v="C1017"/>
    <s v="Returning"/>
    <n v="2"/>
    <n v="28000"/>
    <n v="0.1"/>
    <n v="50400"/>
    <n v="16000"/>
    <s v="No"/>
    <s v="Kemi"/>
    <n v="50400"/>
    <n v="0"/>
    <n v="32000"/>
    <n v="18400"/>
    <n v="6"/>
    <b v="0"/>
  </r>
  <r>
    <n v="100081"/>
    <d v="2026-05-09T00:00:00"/>
    <s v="LG-02"/>
    <s v="Lagos"/>
    <s v="Online"/>
    <x v="1"/>
    <s v="Earbuds"/>
    <s v="C1143"/>
    <s v="New"/>
    <n v="2"/>
    <n v="32000"/>
    <n v="0"/>
    <n v="64000"/>
    <n v="19000"/>
    <s v="No"/>
    <s v="Aisha"/>
    <n v="64000"/>
    <n v="0"/>
    <n v="38000"/>
    <n v="26000"/>
    <n v="5"/>
    <b v="0"/>
  </r>
  <r>
    <n v="100082"/>
    <d v="2026-05-07T00:00:00"/>
    <s v="AB-01"/>
    <s v="Abuja"/>
    <s v="Online"/>
    <x v="1"/>
    <s v="Smartphone"/>
    <s v="C1089"/>
    <s v="New"/>
    <n v="2"/>
    <n v="165000"/>
    <n v="0.1"/>
    <n v="297000"/>
    <n v="112000"/>
    <s v="No"/>
    <s v="Fatima"/>
    <n v="297000"/>
    <n v="0"/>
    <n v="224000"/>
    <n v="73000"/>
    <n v="5"/>
    <b v="0"/>
  </r>
  <r>
    <n v="100083"/>
    <d v="2026-02-26T00:00:00"/>
    <s v="LG-02"/>
    <s v="Lagos"/>
    <s v="In-store"/>
    <x v="1"/>
    <s v="Smartphone"/>
    <s v="C1133"/>
    <s v="Returning"/>
    <n v="3"/>
    <n v="165000"/>
    <n v="0.1"/>
    <n v="445500"/>
    <n v="112000"/>
    <s v="Yes"/>
    <s v="Fatima"/>
    <n v="445500"/>
    <n v="0"/>
    <n v="336000"/>
    <n v="109500"/>
    <n v="5"/>
    <b v="0"/>
  </r>
  <r>
    <n v="100084"/>
    <d v="2026-07-23T00:00:00"/>
    <s v="AB-01"/>
    <s v="Abuja"/>
    <s v="In-store"/>
    <x v="1"/>
    <s v="Power Bank"/>
    <s v="C1097"/>
    <s v="New"/>
    <n v="4"/>
    <n v="26000"/>
    <n v="0"/>
    <n v="104000"/>
    <n v="15000"/>
    <s v="Yes"/>
    <s v="Kemi"/>
    <n v="104000"/>
    <n v="0"/>
    <n v="60000"/>
    <n v="44000"/>
    <n v="5"/>
    <b v="0"/>
  </r>
  <r>
    <n v="100085"/>
    <d v="2026-07-24T00:00:00"/>
    <s v="PH-01"/>
    <s v="Port Harcourt"/>
    <s v="WhatsApp"/>
    <x v="1"/>
    <s v="Power Bank"/>
    <s v="C1020"/>
    <s v="Returning"/>
    <n v="3"/>
    <n v="26000"/>
    <n v="0"/>
    <n v="78000"/>
    <n v="15000"/>
    <s v="No"/>
    <s v="Aisha"/>
    <n v="78000"/>
    <n v="0"/>
    <n v="45000"/>
    <n v="33000"/>
    <n v="13"/>
    <b v="0"/>
  </r>
  <r>
    <n v="100086"/>
    <d v="2026-02-15T00:00:00"/>
    <s v="KN-01"/>
    <s v="Kano"/>
    <s v="Online"/>
    <x v="1"/>
    <s v="Earbuds"/>
    <s v="C1177"/>
    <s v="Returning"/>
    <n v="4"/>
    <n v="32000"/>
    <n v="0.1"/>
    <n v="115200"/>
    <n v="19000"/>
    <s v="No"/>
    <s v="Fatima"/>
    <n v="115200"/>
    <n v="0"/>
    <n v="76000"/>
    <n v="39200"/>
    <n v="4"/>
    <b v="0"/>
  </r>
  <r>
    <n v="100087"/>
    <d v="2026-01-10T00:00:00"/>
    <s v="AB-01"/>
    <s v="Abuja"/>
    <s v="WhatsApp"/>
    <x v="2"/>
    <s v="Backpack"/>
    <s v="C1150"/>
    <s v="Returning"/>
    <n v="3"/>
    <n v="28000"/>
    <n v="0.15"/>
    <n v="71400"/>
    <n v="16000"/>
    <s v="No"/>
    <s v="Fatima"/>
    <n v="71400"/>
    <n v="0"/>
    <n v="48000"/>
    <n v="23400"/>
    <n v="5"/>
    <b v="0"/>
  </r>
  <r>
    <n v="100088"/>
    <d v="2026-06-18T00:00:00"/>
    <s v="KN-01"/>
    <s v="Kano"/>
    <s v="WhatsApp"/>
    <x v="1"/>
    <s v="Earbuds"/>
    <s v="C1128"/>
    <s v="Returning"/>
    <n v="5"/>
    <n v="32000"/>
    <n v="0.05"/>
    <n v="152000"/>
    <n v="19000"/>
    <s v="Yes"/>
    <s v="Chinedu"/>
    <n v="152000"/>
    <n v="0"/>
    <n v="95000"/>
    <n v="57000"/>
    <n v="4"/>
    <b v="0"/>
  </r>
  <r>
    <n v="100089"/>
    <d v="2026-01-02T00:00:00"/>
    <s v="KN-01"/>
    <s v="Kano"/>
    <s v="In-store"/>
    <x v="0"/>
    <s v="Blender"/>
    <s v="C1089"/>
    <s v="Returning"/>
    <n v="1"/>
    <n v="42000"/>
    <n v="0.05"/>
    <n v="39900"/>
    <n v="28000"/>
    <s v="No"/>
    <s v="Bola"/>
    <n v="39900"/>
    <n v="0"/>
    <n v="28000"/>
    <n v="11900"/>
    <n v="4"/>
    <b v="0"/>
  </r>
  <r>
    <n v="100090"/>
    <d v="2026-03-04T00:00:00"/>
    <s v="KN-01"/>
    <s v="Kano"/>
    <s v="Online"/>
    <x v="0"/>
    <s v="Blender"/>
    <s v="C1169"/>
    <s v="Returning"/>
    <n v="4"/>
    <n v="42000"/>
    <n v="0.05"/>
    <n v="159600"/>
    <n v="28000"/>
    <s v="No"/>
    <s v="Kemi"/>
    <n v="159600"/>
    <n v="0"/>
    <n v="112000"/>
    <n v="47600"/>
    <n v="4"/>
    <b v="0"/>
  </r>
  <r>
    <n v="100091"/>
    <d v="2026-06-17T00:00:00"/>
    <s v="PH-01"/>
    <s v="Port Harcourt"/>
    <s v="Online"/>
    <x v="2"/>
    <s v="Phone Case"/>
    <s v="C1166"/>
    <s v="New"/>
    <n v="2"/>
    <n v="9000"/>
    <n v="0.1"/>
    <n v="16200"/>
    <n v="3500"/>
    <s v="No"/>
    <s v="Grace"/>
    <n v="16200"/>
    <n v="0"/>
    <n v="7000"/>
    <n v="9200"/>
    <n v="13"/>
    <b v="0"/>
  </r>
  <r>
    <n v="100092"/>
    <d v="2026-05-11T00:00:00"/>
    <s v="PH-01"/>
    <s v="Port Harcourt"/>
    <s v="In-store"/>
    <x v="0"/>
    <s v="Blender"/>
    <s v="C1108"/>
    <s v="Returning"/>
    <n v="4"/>
    <n v="42000"/>
    <n v="0.1"/>
    <n v="166320"/>
    <n v="28000"/>
    <s v="No"/>
    <s v="Bola"/>
    <n v="151200"/>
    <n v="15120"/>
    <n v="112000"/>
    <n v="39200"/>
    <n v="13"/>
    <b v="0"/>
  </r>
  <r>
    <n v="100093"/>
    <d v="2026-04-27T00:00:00"/>
    <s v="AB-01"/>
    <s v="Abuja"/>
    <s v="In-store"/>
    <x v="2"/>
    <s v="Phone Case"/>
    <s v="C1031"/>
    <s v="Returning"/>
    <n v="5"/>
    <n v="9000"/>
    <n v="0.2"/>
    <n v="36000"/>
    <n v="3500"/>
    <s v="No"/>
    <s v="Fatima"/>
    <n v="36000"/>
    <n v="0"/>
    <n v="17500"/>
    <n v="18500"/>
    <n v="5"/>
    <b v="0"/>
  </r>
  <r>
    <n v="100094"/>
    <d v="2026-07-20T00:00:00"/>
    <s v="LG-02"/>
    <s v="Lagos"/>
    <s v="In-store"/>
    <x v="0"/>
    <s v="Blender"/>
    <s v="C1036"/>
    <s v="Returning"/>
    <n v="4"/>
    <n v="42000"/>
    <n v="0.05"/>
    <n v="127680"/>
    <n v="28000"/>
    <s v="No"/>
    <s v="Fatima"/>
    <n v="159600"/>
    <n v="-31920"/>
    <n v="112000"/>
    <n v="47600"/>
    <n v="5"/>
    <b v="0"/>
  </r>
  <r>
    <n v="100095"/>
    <d v="2026-05-06T00:00:00"/>
    <s v="LG-01"/>
    <s v="Lagos"/>
    <s v="Online"/>
    <x v="2"/>
    <s v="Phone Case"/>
    <s v="C1092"/>
    <s v="New"/>
    <n v="1"/>
    <n v="9000"/>
    <n v="0.05"/>
    <n v="8550"/>
    <n v="3500"/>
    <s v="No"/>
    <s v="Aisha"/>
    <n v="8550"/>
    <n v="0"/>
    <n v="3500"/>
    <n v="5050"/>
    <n v="5"/>
    <b v="0"/>
  </r>
  <r>
    <n v="100096"/>
    <d v="2026-01-27T00:00:00"/>
    <s v="AB-02"/>
    <s v="Abuja"/>
    <s v="Online"/>
    <x v="1"/>
    <s v="Power Bank"/>
    <s v="C1038"/>
    <s v="Returning"/>
    <n v="3"/>
    <n v="26000"/>
    <n v="0"/>
    <n v="78000"/>
    <n v="15000"/>
    <s v="No"/>
    <s v="David"/>
    <n v="78000"/>
    <n v="0"/>
    <n v="45000"/>
    <n v="33000"/>
    <n v="5"/>
    <b v="0"/>
  </r>
  <r>
    <n v="100097"/>
    <d v="2026-04-10T00:00:00"/>
    <s v="PH-01"/>
    <s v="Port Harcourt"/>
    <s v="In-store"/>
    <x v="1"/>
    <s v="Power Bank"/>
    <s v="C1134"/>
    <s v="Returning"/>
    <n v="4"/>
    <n v="26000"/>
    <n v="0"/>
    <n v="104000"/>
    <n v="15000"/>
    <s v="No"/>
    <s v="Bola"/>
    <n v="104000"/>
    <n v="0"/>
    <n v="60000"/>
    <n v="44000"/>
    <n v="13"/>
    <b v="0"/>
  </r>
  <r>
    <n v="100098"/>
    <d v="2026-02-21T00:00:00"/>
    <s v="LG-01"/>
    <s v="Lagos"/>
    <s v="Online"/>
    <x v="0"/>
    <s v="Blender"/>
    <s v="C1071"/>
    <s v="New"/>
    <n v="1"/>
    <n v="42000"/>
    <n v="0.05"/>
    <n v="39900"/>
    <n v="28000"/>
    <s v="No"/>
    <s v="Fatima"/>
    <n v="39900"/>
    <n v="0"/>
    <n v="28000"/>
    <n v="11900"/>
    <n v="5"/>
    <b v="0"/>
  </r>
  <r>
    <n v="100099"/>
    <d v="2026-03-08T00:00:00"/>
    <s v="LG-01"/>
    <s v="Lagos"/>
    <s v="In-store"/>
    <x v="1"/>
    <s v="Earbuds"/>
    <s v="C1111"/>
    <s v="New"/>
    <n v="2"/>
    <n v="32000"/>
    <n v="0"/>
    <n v="64000"/>
    <n v="19000"/>
    <s v="No"/>
    <s v="Fatima"/>
    <n v="64000"/>
    <n v="0"/>
    <n v="38000"/>
    <n v="26000"/>
    <n v="5"/>
    <b v="0"/>
  </r>
  <r>
    <n v="100100"/>
    <d v="2026-03-05T00:00:00"/>
    <s v="LG-02"/>
    <s v="Lagos"/>
    <s v="In-store"/>
    <x v="1"/>
    <s v="Earbuds"/>
    <s v="C1048"/>
    <s v="New"/>
    <n v="3"/>
    <n v="32000"/>
    <n v="0.05"/>
    <n v="91200"/>
    <n v="19000"/>
    <s v="No"/>
    <s v="Ibrahim"/>
    <n v="91200"/>
    <n v="0"/>
    <n v="57000"/>
    <n v="34200"/>
    <n v="5"/>
    <b v="0"/>
  </r>
  <r>
    <n v="100101"/>
    <d v="2026-07-10T00:00:00"/>
    <s v="AB-02"/>
    <s v="Abuja"/>
    <s v="In-store"/>
    <x v="2"/>
    <s v="Phone Case"/>
    <s v="C1052"/>
    <s v="Returning"/>
    <n v="5"/>
    <n v="9000"/>
    <n v="0.05"/>
    <n v="42750"/>
    <n v="3500"/>
    <s v="No"/>
    <s v="Chinedu"/>
    <n v="42750"/>
    <n v="0"/>
    <n v="17500"/>
    <n v="25250"/>
    <n v="5"/>
    <b v="0"/>
  </r>
  <r>
    <n v="100102"/>
    <d v="2026-06-26T00:00:00"/>
    <s v="LG-02"/>
    <s v="Lagos"/>
    <s v="WhatsApp"/>
    <x v="0"/>
    <s v="Electric Kettle"/>
    <s v="C1014"/>
    <s v="Returning"/>
    <n v="2"/>
    <n v="24000"/>
    <n v="0"/>
    <n v="48000"/>
    <n v="15000"/>
    <s v="No"/>
    <s v="Ibrahim"/>
    <n v="48000"/>
    <n v="0"/>
    <n v="30000"/>
    <n v="18000"/>
    <n v="5"/>
    <b v="0"/>
  </r>
  <r>
    <n v="100103"/>
    <d v="2026-06-20T00:00:00"/>
    <s v="AB-01"/>
    <s v="Abuja"/>
    <s v="Online"/>
    <x v="1"/>
    <s v="Smartphone"/>
    <s v="C1110"/>
    <s v="New"/>
    <n v="1"/>
    <n v="165000"/>
    <n v="0"/>
    <n v="165000"/>
    <n v="112000"/>
    <s v="Yes"/>
    <s v="Bola"/>
    <n v="165000"/>
    <n v="0"/>
    <n v="112000"/>
    <n v="53000"/>
    <n v="5"/>
    <b v="0"/>
  </r>
  <r>
    <n v="100104"/>
    <d v="2026-02-13T00:00:00"/>
    <s v="LG-01"/>
    <s v="Lagos"/>
    <s v="In-store"/>
    <x v="1"/>
    <s v="Smartphone"/>
    <s v="C1167"/>
    <s v="New"/>
    <n v="3"/>
    <n v="165000"/>
    <n v="0"/>
    <n v="495000"/>
    <n v="112000"/>
    <s v="No"/>
    <s v="Grace"/>
    <n v="495000"/>
    <n v="0"/>
    <n v="336000"/>
    <n v="159000"/>
    <n v="5"/>
    <b v="0"/>
  </r>
  <r>
    <n v="100105"/>
    <d v="2026-06-04T00:00:00"/>
    <s v="IB-01"/>
    <s v="Ibadan"/>
    <s v="WhatsApp"/>
    <x v="0"/>
    <s v="Standing Fan"/>
    <s v="C1002"/>
    <s v="New"/>
    <n v="2"/>
    <n v="58000"/>
    <n v="0"/>
    <n v="116000"/>
    <n v="39000"/>
    <s v="No"/>
    <s v="David"/>
    <n v="116000"/>
    <n v="0"/>
    <n v="78000"/>
    <n v="38000"/>
    <n v="6"/>
    <b v="0"/>
  </r>
  <r>
    <n v="100106"/>
    <d v="2026-03-01T00:00:00"/>
    <s v="IB-01"/>
    <s v="Ibadan"/>
    <s v="In-store"/>
    <x v="0"/>
    <s v="Blender"/>
    <s v="C1170"/>
    <s v="Returning"/>
    <n v="5"/>
    <n v="42000"/>
    <n v="0.05"/>
    <n v="199500"/>
    <n v="28000"/>
    <s v="No"/>
    <s v="Kemi"/>
    <n v="199500"/>
    <n v="0"/>
    <n v="140000"/>
    <n v="59500"/>
    <n v="6"/>
    <b v="0"/>
  </r>
  <r>
    <n v="100107"/>
    <d v="2026-01-27T00:00:00"/>
    <s v="PH-01"/>
    <s v="Port Harcourt"/>
    <s v="In-store"/>
    <x v="0"/>
    <s v="Standing Fan"/>
    <s v="C1082"/>
    <s v="Returning"/>
    <n v="1"/>
    <n v="58000"/>
    <n v="0.1"/>
    <n v="52200"/>
    <n v="39000"/>
    <s v="No"/>
    <s v="Aisha"/>
    <n v="52200"/>
    <n v="0"/>
    <n v="39000"/>
    <n v="13200"/>
    <n v="13"/>
    <b v="0"/>
  </r>
  <r>
    <n v="100108"/>
    <d v="2026-05-22T00:00:00"/>
    <s v="AB-02"/>
    <s v="Abuja"/>
    <s v="In-store"/>
    <x v="2"/>
    <s v="USB Cable"/>
    <s v="C1021"/>
    <s v="Returning"/>
    <n v="1"/>
    <n v="6500"/>
    <n v="0.15"/>
    <n v="5525"/>
    <n v="2200"/>
    <s v="No"/>
    <s v="David"/>
    <n v="5525"/>
    <n v="0"/>
    <n v="2200"/>
    <n v="3325"/>
    <n v="5"/>
    <b v="0"/>
  </r>
  <r>
    <n v="100109"/>
    <d v="2026-07-31T00:00:00"/>
    <s v="AB-02"/>
    <s v="Abuja"/>
    <s v="WhatsApp"/>
    <x v="2"/>
    <s v="Phone Case"/>
    <s v="C1078"/>
    <s v="Returning"/>
    <n v="2"/>
    <n v="9000"/>
    <n v="0.15"/>
    <n v="15300"/>
    <n v="3500"/>
    <s v="No"/>
    <s v="Fatima"/>
    <n v="15300"/>
    <n v="0"/>
    <n v="7000"/>
    <n v="8300"/>
    <n v="5"/>
    <b v="0"/>
  </r>
  <r>
    <n v="100110"/>
    <d v="2026-07-13T00:00:00"/>
    <s v="LG-02"/>
    <s v="Lagos"/>
    <s v="In-store"/>
    <x v="0"/>
    <s v="Blender"/>
    <s v="C1017"/>
    <s v="New"/>
    <n v="1"/>
    <n v="42000"/>
    <n v="0"/>
    <n v="42000"/>
    <n v="28000"/>
    <s v="No"/>
    <s v="David"/>
    <n v="42000"/>
    <n v="0"/>
    <n v="28000"/>
    <n v="14000"/>
    <n v="5"/>
    <b v="0"/>
  </r>
  <r>
    <n v="100111"/>
    <d v="2026-07-31T00:00:00"/>
    <s v="LG-02"/>
    <s v="Lagos"/>
    <s v="In-store"/>
    <x v="2"/>
    <s v="Backpack"/>
    <s v="C1145"/>
    <s v="Returning"/>
    <n v="1"/>
    <n v="28000"/>
    <n v="0.05"/>
    <n v="26600"/>
    <n v="16000"/>
    <s v="No"/>
    <s v="Fatima"/>
    <n v="26600"/>
    <n v="0"/>
    <n v="16000"/>
    <n v="10600"/>
    <n v="5"/>
    <b v="0"/>
  </r>
  <r>
    <n v="100112"/>
    <d v="2026-01-26T00:00:00"/>
    <s v="KN-01"/>
    <s v="Kano"/>
    <s v="In-store"/>
    <x v="1"/>
    <s v="Power Bank"/>
    <s v="C1091"/>
    <s v="New"/>
    <n v="2"/>
    <n v="26000"/>
    <n v="0.1"/>
    <n v="46800"/>
    <n v="15000"/>
    <s v="No"/>
    <s v="Chinedu"/>
    <n v="46800"/>
    <n v="0"/>
    <n v="30000"/>
    <n v="16800"/>
    <n v="4"/>
    <b v="0"/>
  </r>
  <r>
    <n v="100113"/>
    <d v="2026-02-12T00:00:00"/>
    <s v="AB-02"/>
    <s v="Abuja"/>
    <s v="In-store"/>
    <x v="0"/>
    <s v="Standing Fan"/>
    <s v="C1045"/>
    <s v="New"/>
    <n v="3"/>
    <n v="58000"/>
    <n v="0.05"/>
    <n v="165300"/>
    <n v="39000"/>
    <s v="No"/>
    <s v="Kemi"/>
    <n v="165300"/>
    <n v="0"/>
    <n v="117000"/>
    <n v="48300"/>
    <n v="5"/>
    <b v="0"/>
  </r>
  <r>
    <n v="100114"/>
    <d v="2026-06-21T00:00:00"/>
    <s v="AB-01"/>
    <s v="Abuja"/>
    <s v="Online"/>
    <x v="2"/>
    <s v="USB Cable"/>
    <s v="C1044"/>
    <s v="Returning"/>
    <n v="2"/>
    <n v="6500"/>
    <n v="0.25"/>
    <n v="9750"/>
    <n v="2200"/>
    <s v="No"/>
    <s v="Chinedu"/>
    <n v="9750"/>
    <n v="0"/>
    <n v="4400"/>
    <n v="5350"/>
    <n v="5"/>
    <b v="0"/>
  </r>
  <r>
    <n v="100115"/>
    <d v="2026-03-31T00:00:00"/>
    <s v="LG-02"/>
    <s v="Lagos"/>
    <s v="Online"/>
    <x v="1"/>
    <s v="Power Bank"/>
    <s v="C1098"/>
    <s v="New"/>
    <n v="2"/>
    <n v="26000"/>
    <n v="0.1"/>
    <n v="46800"/>
    <n v="15000"/>
    <s v="No"/>
    <s v="Aisha"/>
    <n v="46800"/>
    <n v="0"/>
    <n v="30000"/>
    <n v="16800"/>
    <n v="5"/>
    <b v="0"/>
  </r>
  <r>
    <n v="100116"/>
    <d v="2026-02-03T00:00:00"/>
    <s v="PH-01"/>
    <s v="Port Harcourt"/>
    <s v="In-store"/>
    <x v="2"/>
    <s v="Backpack"/>
    <s v="C1190"/>
    <s v="Returning"/>
    <n v="5"/>
    <n v="28000"/>
    <n v="0"/>
    <n v="140000"/>
    <n v="16000"/>
    <s v="No"/>
    <s v="Kemi"/>
    <n v="140000"/>
    <n v="0"/>
    <n v="80000"/>
    <n v="60000"/>
    <n v="13"/>
    <b v="0"/>
  </r>
  <r>
    <n v="100117"/>
    <d v="2026-04-10T00:00:00"/>
    <s v="LG-02"/>
    <s v="Lagos"/>
    <s v="In-store"/>
    <x v="2"/>
    <s v="Phone Case"/>
    <s v="C1055"/>
    <s v="New"/>
    <n v="4"/>
    <n v="9000"/>
    <n v="0"/>
    <n v="36000"/>
    <n v="3500"/>
    <s v="No"/>
    <s v="Ibrahim"/>
    <n v="36000"/>
    <n v="0"/>
    <n v="14000"/>
    <n v="22000"/>
    <n v="5"/>
    <b v="0"/>
  </r>
  <r>
    <n v="100118"/>
    <d v="2026-08-26T00:00:00"/>
    <s v="IB-01"/>
    <s v="Ibadan"/>
    <s v="WhatsApp"/>
    <x v="1"/>
    <s v="Power Bank"/>
    <s v="C1048"/>
    <s v="New"/>
    <n v="3"/>
    <n v="26000"/>
    <n v="0"/>
    <n v="78000"/>
    <n v="15000"/>
    <s v="No"/>
    <s v="David"/>
    <n v="78000"/>
    <n v="0"/>
    <n v="45000"/>
    <n v="33000"/>
    <n v="6"/>
    <b v="0"/>
  </r>
  <r>
    <n v="100119"/>
    <d v="2026-06-28T00:00:00"/>
    <s v="LG-02"/>
    <s v="Lagos"/>
    <s v="WhatsApp"/>
    <x v="2"/>
    <s v="Phone Case"/>
    <s v="C1059"/>
    <s v="Returning"/>
    <n v="4"/>
    <n v="9000"/>
    <n v="0"/>
    <n v="36000"/>
    <n v="3500"/>
    <s v="No"/>
    <s v="Fatima"/>
    <n v="36000"/>
    <n v="0"/>
    <n v="14000"/>
    <n v="22000"/>
    <n v="5"/>
    <b v="0"/>
  </r>
  <r>
    <n v="100120"/>
    <d v="2026-01-26T00:00:00"/>
    <s v="LG-01"/>
    <s v="Lagos"/>
    <s v="In-store"/>
    <x v="1"/>
    <s v="Smartphone"/>
    <s v="C1194"/>
    <s v="Returning"/>
    <n v="1"/>
    <n v="165000"/>
    <n v="0"/>
    <n v="165000"/>
    <n v="112000"/>
    <s v="Yes"/>
    <s v="David"/>
    <n v="165000"/>
    <n v="0"/>
    <n v="112000"/>
    <n v="53000"/>
    <n v="5"/>
    <b v="0"/>
  </r>
  <r>
    <n v="100121"/>
    <d v="2026-08-14T00:00:00"/>
    <s v="IB-01"/>
    <s v="Ibadan"/>
    <s v="In-store"/>
    <x v="2"/>
    <s v="Phone Case"/>
    <s v="C1124"/>
    <s v="New"/>
    <n v="4"/>
    <n v="9000"/>
    <n v="0"/>
    <n v="32400"/>
    <n v="3500"/>
    <s v="No"/>
    <s v="Bola"/>
    <n v="36000"/>
    <n v="-3600"/>
    <n v="14000"/>
    <n v="22000"/>
    <n v="6"/>
    <b v="0"/>
  </r>
  <r>
    <n v="100122"/>
    <d v="2026-07-23T00:00:00"/>
    <s v="PH-01"/>
    <s v="Port Harcourt"/>
    <s v="In-store"/>
    <x v="0"/>
    <s v="Electric Kettle"/>
    <s v="C1173"/>
    <s v="New"/>
    <n v="3"/>
    <n v="24000"/>
    <n v="0"/>
    <n v="72000"/>
    <n v="15000"/>
    <s v="No"/>
    <s v="Ibrahim"/>
    <n v="72000"/>
    <n v="0"/>
    <n v="45000"/>
    <n v="27000"/>
    <n v="13"/>
    <b v="0"/>
  </r>
  <r>
    <n v="100123"/>
    <d v="2026-05-30T00:00:00"/>
    <s v="AB-01"/>
    <s v="Abuja"/>
    <s v="In-store"/>
    <x v="1"/>
    <s v="Earbuds"/>
    <s v="C1020"/>
    <s v="Returning"/>
    <n v="4"/>
    <n v="32000"/>
    <n v="0.1"/>
    <n v="115200"/>
    <n v="19000"/>
    <s v="No"/>
    <s v="Fatima"/>
    <n v="115200"/>
    <n v="0"/>
    <n v="76000"/>
    <n v="39200"/>
    <n v="5"/>
    <b v="0"/>
  </r>
  <r>
    <n v="100124"/>
    <d v="2026-07-24T00:00:00"/>
    <s v="KN-01"/>
    <s v="Kano"/>
    <s v="Online"/>
    <x v="1"/>
    <s v="Earbuds"/>
    <s v="C1080"/>
    <s v="Returning"/>
    <n v="3"/>
    <n v="32000"/>
    <n v="0.15"/>
    <n v="81600"/>
    <n v="19000"/>
    <s v="No"/>
    <s v="David"/>
    <n v="81600"/>
    <n v="0"/>
    <n v="57000"/>
    <n v="24600"/>
    <n v="4"/>
    <b v="0"/>
  </r>
  <r>
    <n v="100125"/>
    <d v="2026-02-28T00:00:00"/>
    <s v="PH-01"/>
    <s v="Port Harcourt"/>
    <s v="In-store"/>
    <x v="1"/>
    <s v="Earbuds"/>
    <s v="C1184"/>
    <s v="Returning"/>
    <n v="3"/>
    <n v="32000"/>
    <n v="0.15"/>
    <n v="81600"/>
    <n v="19000"/>
    <s v="No"/>
    <s v="Chinedu"/>
    <n v="81600"/>
    <n v="0"/>
    <n v="57000"/>
    <n v="24600"/>
    <n v="13"/>
    <b v="0"/>
  </r>
  <r>
    <n v="100126"/>
    <d v="2026-07-18T00:00:00"/>
    <s v="AB-02"/>
    <s v="Abuja"/>
    <s v="WhatsApp"/>
    <x v="1"/>
    <s v="Smartphone"/>
    <s v="C1004"/>
    <s v="Returning"/>
    <n v="2"/>
    <n v="165000"/>
    <n v="0.25"/>
    <n v="247500"/>
    <n v="112000"/>
    <s v="No"/>
    <s v="Ibrahim"/>
    <n v="247500"/>
    <n v="0"/>
    <n v="224000"/>
    <n v="23500"/>
    <n v="5"/>
    <b v="0"/>
  </r>
  <r>
    <n v="100127"/>
    <d v="2026-01-10T00:00:00"/>
    <s v="AB-01"/>
    <s v="Abuja"/>
    <s v="Online"/>
    <x v="2"/>
    <s v="Phone Case"/>
    <s v="C1129"/>
    <s v="Returning"/>
    <n v="3"/>
    <n v="9000"/>
    <n v="0.25"/>
    <n v="20250"/>
    <n v="3500"/>
    <s v="No"/>
    <s v="Bola"/>
    <n v="20250"/>
    <n v="0"/>
    <n v="10500"/>
    <n v="9750"/>
    <n v="5"/>
    <b v="0"/>
  </r>
  <r>
    <n v="100128"/>
    <d v="2026-04-01T00:00:00"/>
    <s v="AB-01"/>
    <s v="Abuja"/>
    <s v="WhatsApp"/>
    <x v="1"/>
    <s v="Smartphone"/>
    <s v="C1124"/>
    <s v="New"/>
    <n v="2"/>
    <n v="165000"/>
    <n v="0"/>
    <n v="330000"/>
    <n v="112000"/>
    <s v="No"/>
    <s v="David"/>
    <n v="330000"/>
    <n v="0"/>
    <n v="224000"/>
    <n v="106000"/>
    <n v="5"/>
    <b v="0"/>
  </r>
  <r>
    <n v="100129"/>
    <d v="2026-04-02T00:00:00"/>
    <s v="PH-01"/>
    <s v="Port Harcourt"/>
    <s v="WhatsApp"/>
    <x v="2"/>
    <s v="Backpack"/>
    <s v="C1062"/>
    <s v="New"/>
    <n v="2"/>
    <n v="28000"/>
    <n v="0.05"/>
    <n v="53200"/>
    <n v="16000"/>
    <s v="No"/>
    <s v="Chinedu"/>
    <n v="53200"/>
    <n v="0"/>
    <n v="32000"/>
    <n v="21200"/>
    <n v="13"/>
    <b v="0"/>
  </r>
  <r>
    <n v="100130"/>
    <d v="2026-04-14T00:00:00"/>
    <s v="LG-02"/>
    <s v="Lagos"/>
    <s v="WhatsApp"/>
    <x v="2"/>
    <s v="Phone Case"/>
    <s v="C1046"/>
    <s v="New"/>
    <n v="2"/>
    <n v="9000"/>
    <n v="0"/>
    <n v="18000"/>
    <n v="3500"/>
    <s v="No"/>
    <s v="Kemi"/>
    <n v="18000"/>
    <n v="0"/>
    <n v="7000"/>
    <n v="11000"/>
    <n v="5"/>
    <b v="0"/>
  </r>
  <r>
    <n v="100131"/>
    <d v="2026-03-09T00:00:00"/>
    <s v="LG-02"/>
    <s v="Lagos"/>
    <s v="WhatsApp"/>
    <x v="0"/>
    <s v="Blender"/>
    <s v="C1191"/>
    <s v="New"/>
    <n v="1"/>
    <n v="42000"/>
    <n v="0"/>
    <n v="42000"/>
    <n v="28000"/>
    <s v="No"/>
    <s v="David"/>
    <n v="42000"/>
    <n v="0"/>
    <n v="28000"/>
    <n v="14000"/>
    <n v="5"/>
    <b v="0"/>
  </r>
  <r>
    <n v="100132"/>
    <d v="2026-08-24T00:00:00"/>
    <s v="PH-01"/>
    <s v="Port Harcourt"/>
    <s v="In-store"/>
    <x v="1"/>
    <s v="Power Bank"/>
    <s v="C1076"/>
    <s v="Returning"/>
    <n v="4"/>
    <n v="26000"/>
    <n v="0"/>
    <n v="104000"/>
    <n v="15000"/>
    <s v="No"/>
    <s v="Aisha"/>
    <n v="104000"/>
    <n v="0"/>
    <n v="60000"/>
    <n v="44000"/>
    <n v="13"/>
    <b v="0"/>
  </r>
  <r>
    <n v="100133"/>
    <d v="2026-06-29T00:00:00"/>
    <s v="KN-01"/>
    <s v="Kano"/>
    <s v="In-store"/>
    <x v="0"/>
    <s v="Electric Kettle"/>
    <s v="C1153"/>
    <s v="Returning"/>
    <n v="1"/>
    <n v="24000"/>
    <n v="0"/>
    <n v="24000"/>
    <n v="15000"/>
    <s v="No"/>
    <s v="Kemi"/>
    <n v="24000"/>
    <n v="0"/>
    <n v="15000"/>
    <n v="9000"/>
    <n v="4"/>
    <b v="0"/>
  </r>
  <r>
    <n v="100134"/>
    <d v="2026-05-03T00:00:00"/>
    <s v="AB-02"/>
    <s v="Abuja"/>
    <s v="Online"/>
    <x v="0"/>
    <s v="Standing Fan"/>
    <s v="C1016"/>
    <s v="Returning"/>
    <n v="3"/>
    <n v="58000"/>
    <n v="0.25"/>
    <n v="130500"/>
    <n v="39000"/>
    <s v="No"/>
    <s v="Ibrahim"/>
    <n v="130500"/>
    <n v="0"/>
    <n v="117000"/>
    <n v="13500"/>
    <n v="5"/>
    <b v="0"/>
  </r>
  <r>
    <n v="100135"/>
    <d v="2026-04-09T00:00:00"/>
    <s v="KN-01"/>
    <s v="Kano"/>
    <s v="WhatsApp"/>
    <x v="0"/>
    <s v="Electric Kettle"/>
    <s v="C1003"/>
    <s v="Returning"/>
    <n v="1"/>
    <n v="24000"/>
    <n v="0.15"/>
    <n v="20400"/>
    <n v="15000"/>
    <s v="No"/>
    <s v="Kemi"/>
    <n v="20400"/>
    <n v="0"/>
    <n v="15000"/>
    <n v="5400"/>
    <n v="4"/>
    <b v="0"/>
  </r>
  <r>
    <n v="100136"/>
    <d v="2026-02-09T00:00:00"/>
    <s v="KN-01"/>
    <s v="Kano"/>
    <s v="In-store"/>
    <x v="1"/>
    <s v="Power Bank"/>
    <s v="C1149"/>
    <s v="New"/>
    <n v="2"/>
    <n v="26000"/>
    <n v="0.15"/>
    <n v="44200"/>
    <n v="15000"/>
    <s v="No"/>
    <s v="Fatima"/>
    <n v="44200"/>
    <n v="0"/>
    <n v="30000"/>
    <n v="14200"/>
    <n v="4"/>
    <b v="0"/>
  </r>
  <r>
    <n v="100137"/>
    <d v="2026-05-09T00:00:00"/>
    <s v="LG-01"/>
    <s v="Lagos"/>
    <s v="Online"/>
    <x v="0"/>
    <s v="Blender"/>
    <s v="C1072"/>
    <s v="Returning"/>
    <n v="2"/>
    <n v="42000"/>
    <n v="0"/>
    <n v="84000"/>
    <n v="28000"/>
    <s v="No"/>
    <s v="David"/>
    <n v="84000"/>
    <n v="0"/>
    <n v="56000"/>
    <n v="28000"/>
    <n v="5"/>
    <b v="0"/>
  </r>
  <r>
    <n v="100138"/>
    <d v="2026-04-25T00:00:00"/>
    <s v="IB-01"/>
    <s v="Ibadan"/>
    <s v="In-store"/>
    <x v="1"/>
    <s v="Earbuds"/>
    <s v="C1161"/>
    <s v="Returning"/>
    <n v="4"/>
    <n v="32000"/>
    <n v="0"/>
    <n v="128000"/>
    <n v="19000"/>
    <s v="No"/>
    <s v="Fatima"/>
    <n v="128000"/>
    <n v="0"/>
    <n v="76000"/>
    <n v="52000"/>
    <n v="6"/>
    <b v="0"/>
  </r>
  <r>
    <n v="100139"/>
    <d v="2026-02-03T00:00:00"/>
    <s v="LG-01"/>
    <s v="Lagos"/>
    <s v="In-store"/>
    <x v="2"/>
    <s v="Backpack"/>
    <s v="C1146"/>
    <s v="New"/>
    <n v="3"/>
    <n v="28000"/>
    <n v="0.05"/>
    <n v="79800"/>
    <n v="16000"/>
    <s v="No"/>
    <s v="Bola"/>
    <n v="79800"/>
    <n v="0"/>
    <n v="48000"/>
    <n v="31800"/>
    <n v="5"/>
    <b v="0"/>
  </r>
  <r>
    <n v="100140"/>
    <d v="2026-03-19T00:00:00"/>
    <s v="LG-02"/>
    <s v="Lagos"/>
    <s v="In-store"/>
    <x v="2"/>
    <s v="USB Cable"/>
    <s v="C1002"/>
    <s v="Returning"/>
    <n v="2"/>
    <n v="6500"/>
    <n v="0.15"/>
    <n v="11050"/>
    <n v="2200"/>
    <s v="No"/>
    <s v="Ibrahim"/>
    <n v="11050"/>
    <n v="0"/>
    <n v="4400"/>
    <n v="6650"/>
    <n v="5"/>
    <b v="0"/>
  </r>
  <r>
    <n v="100141"/>
    <d v="2026-01-21T00:00:00"/>
    <s v="LG-02"/>
    <s v="Lagos"/>
    <s v="In-store"/>
    <x v="0"/>
    <s v="Blender"/>
    <s v="C1068"/>
    <s v="Returning"/>
    <n v="18"/>
    <n v="42000"/>
    <n v="0"/>
    <n v="756000"/>
    <n v="28000"/>
    <s v="No"/>
    <s v="Ibrahim"/>
    <n v="756000"/>
    <n v="0"/>
    <n v="504000"/>
    <n v="252000"/>
    <n v="5"/>
    <b v="0"/>
  </r>
  <r>
    <n v="100142"/>
    <d v="2026-04-17T00:00:00"/>
    <s v="IB-01"/>
    <s v="Ibadan"/>
    <s v="Online"/>
    <x v="1"/>
    <s v="Earbuds"/>
    <s v="C1088"/>
    <s v="New"/>
    <n v="1"/>
    <n v="32000"/>
    <n v="0"/>
    <n v="32000"/>
    <n v="19000"/>
    <s v="No"/>
    <s v="Kemi"/>
    <n v="32000"/>
    <n v="0"/>
    <n v="19000"/>
    <n v="13000"/>
    <n v="6"/>
    <b v="0"/>
  </r>
  <r>
    <n v="100143"/>
    <d v="2026-06-14T00:00:00"/>
    <s v="LG-02"/>
    <s v="Lagos"/>
    <s v="In-store"/>
    <x v="1"/>
    <s v="Smartphone"/>
    <s v="C1164"/>
    <s v="Returning"/>
    <n v="2"/>
    <n v="165000"/>
    <n v="0"/>
    <n v="330000"/>
    <n v="112000"/>
    <s v="No"/>
    <s v="Ibrahim"/>
    <n v="330000"/>
    <n v="0"/>
    <n v="224000"/>
    <n v="106000"/>
    <n v="5"/>
    <b v="0"/>
  </r>
  <r>
    <n v="100144"/>
    <d v="2026-04-20T00:00:00"/>
    <s v="IB-01"/>
    <s v="Ibadan"/>
    <s v="WhatsApp"/>
    <x v="1"/>
    <s v="Earbuds"/>
    <s v="C1139"/>
    <s v="New"/>
    <n v="2"/>
    <n v="32000"/>
    <n v="0.15"/>
    <n v="54400"/>
    <n v="19000"/>
    <s v="Yes"/>
    <s v="Grace"/>
    <n v="54400"/>
    <n v="0"/>
    <n v="38000"/>
    <n v="16400"/>
    <n v="6"/>
    <b v="0"/>
  </r>
  <r>
    <n v="100145"/>
    <d v="2026-04-29T00:00:00"/>
    <s v="IB-01"/>
    <s v="Ibadan"/>
    <s v="In-store"/>
    <x v="2"/>
    <s v="Backpack"/>
    <s v="C1018"/>
    <s v="New"/>
    <n v="1"/>
    <n v="28000"/>
    <n v="0"/>
    <n v="28000"/>
    <n v="16000"/>
    <s v="No"/>
    <s v="Chinedu"/>
    <n v="28000"/>
    <n v="0"/>
    <n v="16000"/>
    <n v="12000"/>
    <n v="6"/>
    <b v="0"/>
  </r>
  <r>
    <n v="100146"/>
    <d v="2026-03-27T00:00:00"/>
    <s v="KN-01"/>
    <s v="Kano"/>
    <s v="Online"/>
    <x v="1"/>
    <s v="Earbuds"/>
    <s v="C1128"/>
    <s v="Returning"/>
    <n v="1"/>
    <n v="32000"/>
    <n v="0.1"/>
    <n v="28800"/>
    <n v="19000"/>
    <s v="No"/>
    <s v="Ibrahim"/>
    <n v="28800"/>
    <n v="0"/>
    <n v="19000"/>
    <n v="9800"/>
    <n v="4"/>
    <b v="0"/>
  </r>
  <r>
    <n v="100147"/>
    <d v="2026-04-15T00:00:00"/>
    <s v="PH-01"/>
    <s v="Port Harcourt"/>
    <s v="In-store"/>
    <x v="0"/>
    <s v="Blender"/>
    <s v="C1172"/>
    <s v="New"/>
    <n v="2"/>
    <n v="42000"/>
    <n v="0.05"/>
    <n v="79800"/>
    <n v="28000"/>
    <s v="No"/>
    <s v="Chinedu"/>
    <n v="79800"/>
    <n v="0"/>
    <n v="56000"/>
    <n v="23800"/>
    <n v="13"/>
    <b v="0"/>
  </r>
  <r>
    <n v="100148"/>
    <d v="2026-07-24T00:00:00"/>
    <s v="PH-01"/>
    <s v="Port Harcourt"/>
    <s v="Online"/>
    <x v="0"/>
    <s v="Electric Kettle"/>
    <s v="C1069"/>
    <s v="Returning"/>
    <n v="1"/>
    <n v="24000"/>
    <n v="0.05"/>
    <n v="22800"/>
    <n v="15000"/>
    <s v="No"/>
    <s v="Chinedu"/>
    <n v="22800"/>
    <n v="0"/>
    <n v="15000"/>
    <n v="7800"/>
    <n v="13"/>
    <b v="0"/>
  </r>
  <r>
    <n v="100149"/>
    <d v="2026-01-16T00:00:00"/>
    <s v="LG-02"/>
    <s v="Lagos"/>
    <s v="In-store"/>
    <x v="2"/>
    <s v="Phone Case"/>
    <s v="C1150"/>
    <s v="Returning"/>
    <n v="4"/>
    <n v="9000"/>
    <n v="0.05"/>
    <n v="34200"/>
    <n v="3500"/>
    <s v="No"/>
    <s v="Grace"/>
    <n v="34200"/>
    <n v="0"/>
    <n v="14000"/>
    <n v="20200"/>
    <n v="5"/>
    <b v="0"/>
  </r>
  <r>
    <n v="100150"/>
    <d v="2026-01-10T00:00:00"/>
    <s v="IB-01"/>
    <s v="Ibadan"/>
    <s v="Online"/>
    <x v="1"/>
    <s v="Power Bank"/>
    <s v="C1044"/>
    <s v="Returning"/>
    <n v="1"/>
    <n v="26000"/>
    <n v="0.1"/>
    <n v="23400"/>
    <n v="15000"/>
    <s v="No"/>
    <s v="Grace"/>
    <n v="23400"/>
    <n v="0"/>
    <n v="15000"/>
    <n v="8400"/>
    <n v="6"/>
    <b v="0"/>
  </r>
  <r>
    <n v="100151"/>
    <d v="2026-02-06T00:00:00"/>
    <s v="KN-01"/>
    <s v="Kano"/>
    <s v="Online"/>
    <x v="1"/>
    <s v="Smartphone"/>
    <s v="C1186"/>
    <s v="New"/>
    <n v="1"/>
    <n v="165000"/>
    <n v="0.15"/>
    <n v="140250"/>
    <n v="112000"/>
    <s v="No"/>
    <s v="Chinedu"/>
    <n v="140250"/>
    <n v="0"/>
    <n v="112000"/>
    <n v="28250"/>
    <n v="4"/>
    <b v="0"/>
  </r>
  <r>
    <n v="100152"/>
    <d v="2026-01-30T00:00:00"/>
    <s v="LG-02"/>
    <s v="Lagos"/>
    <s v="WhatsApp"/>
    <x v="2"/>
    <s v="USB Cable"/>
    <s v="C1076"/>
    <s v="Returning"/>
    <n v="1"/>
    <n v="6500"/>
    <n v="0"/>
    <n v="6500"/>
    <n v="2200"/>
    <s v="No"/>
    <s v="Ibrahim"/>
    <n v="6500"/>
    <n v="0"/>
    <n v="2200"/>
    <n v="4300"/>
    <n v="5"/>
    <b v="0"/>
  </r>
  <r>
    <n v="100153"/>
    <d v="2026-07-02T00:00:00"/>
    <s v="AB-02"/>
    <s v="Abuja"/>
    <s v="WhatsApp"/>
    <x v="1"/>
    <s v="Earbuds"/>
    <s v="C1117"/>
    <s v="Returning"/>
    <n v="1"/>
    <n v="32000"/>
    <n v="0.25"/>
    <n v="24000"/>
    <n v="19000"/>
    <s v="No"/>
    <s v="Fatima"/>
    <n v="24000"/>
    <n v="0"/>
    <n v="19000"/>
    <n v="5000"/>
    <n v="5"/>
    <b v="0"/>
  </r>
  <r>
    <n v="100154"/>
    <d v="2026-02-15T00:00:00"/>
    <s v="IB-01"/>
    <s v="Ibadan"/>
    <s v="In-store"/>
    <x v="1"/>
    <s v="Earbuds"/>
    <s v="C1024"/>
    <s v="New"/>
    <n v="1"/>
    <n v="32000"/>
    <n v="0"/>
    <n v="32000"/>
    <n v="19000"/>
    <s v="No"/>
    <s v="Fatima"/>
    <n v="32000"/>
    <n v="0"/>
    <n v="19000"/>
    <n v="13000"/>
    <n v="6"/>
    <b v="0"/>
  </r>
  <r>
    <n v="100155"/>
    <d v="2026-06-25T00:00:00"/>
    <s v="LG-02"/>
    <s v="Lagos"/>
    <s v="In-store"/>
    <x v="2"/>
    <s v="Backpack"/>
    <s v="C1005"/>
    <s v="New"/>
    <n v="5"/>
    <n v="28000"/>
    <n v="0.15"/>
    <n v="119000"/>
    <n v="16000"/>
    <s v="No"/>
    <s v="Chinedu"/>
    <n v="119000"/>
    <n v="0"/>
    <n v="80000"/>
    <n v="39000"/>
    <n v="5"/>
    <b v="0"/>
  </r>
  <r>
    <n v="100156"/>
    <d v="2026-07-12T00:00:00"/>
    <s v="LG-01"/>
    <s v="Lagos"/>
    <s v="In-store"/>
    <x v="1"/>
    <s v="Earbuds"/>
    <s v="C1004"/>
    <s v="New"/>
    <n v="1"/>
    <n v="32000"/>
    <n v="0"/>
    <n v="32000"/>
    <n v="19000"/>
    <s v="No"/>
    <s v="Kemi"/>
    <n v="32000"/>
    <n v="0"/>
    <n v="19000"/>
    <n v="13000"/>
    <n v="5"/>
    <b v="0"/>
  </r>
  <r>
    <n v="100157"/>
    <d v="2026-03-27T00:00:00"/>
    <s v="IB-01"/>
    <s v="Ibadan"/>
    <s v="Online"/>
    <x v="1"/>
    <s v="Earbuds"/>
    <s v="C1105"/>
    <s v="New"/>
    <n v="1"/>
    <n v="32000"/>
    <n v="0.1"/>
    <n v="28800"/>
    <n v="19000"/>
    <s v="No"/>
    <s v="Grace"/>
    <n v="28800"/>
    <n v="0"/>
    <n v="19000"/>
    <n v="9800"/>
    <n v="6"/>
    <b v="0"/>
  </r>
  <r>
    <n v="100158"/>
    <d v="2026-06-06T00:00:00"/>
    <s v="PH-01"/>
    <s v="Port Harcourt"/>
    <s v="Online"/>
    <x v="2"/>
    <s v="Phone Case"/>
    <s v="C1067"/>
    <s v="New"/>
    <n v="2"/>
    <n v="9000"/>
    <n v="0.05"/>
    <n v="17100"/>
    <n v="3500"/>
    <s v="No"/>
    <s v="Kemi"/>
    <n v="17100"/>
    <n v="0"/>
    <n v="7000"/>
    <n v="10100"/>
    <n v="13"/>
    <b v="0"/>
  </r>
  <r>
    <n v="100159"/>
    <d v="2026-07-01T00:00:00"/>
    <s v="LG-01"/>
    <s v="Lagos"/>
    <s v="In-store"/>
    <x v="0"/>
    <s v="Electric Kettle"/>
    <s v="C1184"/>
    <s v="New"/>
    <n v="1"/>
    <n v="24000"/>
    <n v="0"/>
    <n v="24000"/>
    <n v="15000"/>
    <s v="No"/>
    <s v="David"/>
    <n v="24000"/>
    <n v="0"/>
    <n v="15000"/>
    <n v="9000"/>
    <n v="5"/>
    <b v="0"/>
  </r>
  <r>
    <n v="100160"/>
    <d v="2026-02-23T00:00:00"/>
    <s v="LG-02"/>
    <s v="Lagos"/>
    <s v="Online"/>
    <x v="0"/>
    <s v="Electric Kettle"/>
    <s v="C1008"/>
    <s v="Returning"/>
    <n v="1"/>
    <n v="24000"/>
    <n v="0"/>
    <n v="24000"/>
    <n v="15000"/>
    <s v="No"/>
    <s v="Grace"/>
    <n v="24000"/>
    <n v="0"/>
    <n v="15000"/>
    <n v="9000"/>
    <n v="5"/>
    <b v="0"/>
  </r>
  <r>
    <n v="100161"/>
    <d v="2026-07-27T00:00:00"/>
    <s v="IB-01"/>
    <s v="Ibadan"/>
    <s v="WhatsApp"/>
    <x v="0"/>
    <s v="Standing Fan"/>
    <s v="C1096"/>
    <s v="Returning"/>
    <n v="3"/>
    <n v="58000"/>
    <n v="0"/>
    <n v="174000"/>
    <n v="39000"/>
    <s v="No"/>
    <s v="David"/>
    <n v="174000"/>
    <n v="0"/>
    <n v="117000"/>
    <n v="57000"/>
    <n v="6"/>
    <b v="0"/>
  </r>
  <r>
    <n v="100162"/>
    <d v="2026-04-17T00:00:00"/>
    <s v="IB-01"/>
    <s v="Ibadan"/>
    <s v="WhatsApp"/>
    <x v="2"/>
    <s v="Phone Case"/>
    <s v="C1119"/>
    <s v="New"/>
    <n v="1"/>
    <n v="9000"/>
    <n v="0"/>
    <n v="9000"/>
    <n v="3500"/>
    <s v="No"/>
    <s v="Fatima"/>
    <n v="9000"/>
    <n v="0"/>
    <n v="3500"/>
    <n v="5500"/>
    <n v="6"/>
    <b v="0"/>
  </r>
  <r>
    <n v="100163"/>
    <d v="2026-06-26T00:00:00"/>
    <s v="KN-01"/>
    <s v="Kano"/>
    <s v="Online"/>
    <x v="1"/>
    <s v="Power Bank"/>
    <s v="C1158"/>
    <s v="New"/>
    <n v="5"/>
    <n v="26000"/>
    <n v="0.15"/>
    <n v="88400"/>
    <n v="15000"/>
    <s v="No"/>
    <s v="Bola"/>
    <n v="110500"/>
    <n v="-22100"/>
    <n v="75000"/>
    <n v="35500"/>
    <n v="4"/>
    <b v="0"/>
  </r>
  <r>
    <n v="100164"/>
    <d v="2026-03-25T00:00:00"/>
    <s v="KN-01"/>
    <s v="Kano"/>
    <s v="Online"/>
    <x v="1"/>
    <s v="Smartphone"/>
    <s v="C1037"/>
    <s v="Returning"/>
    <n v="5"/>
    <n v="165000"/>
    <n v="0.05"/>
    <n v="783750"/>
    <n v="112000"/>
    <s v="No"/>
    <s v="Chinedu"/>
    <n v="783750"/>
    <n v="0"/>
    <n v="560000"/>
    <n v="223750"/>
    <n v="4"/>
    <b v="0"/>
  </r>
  <r>
    <n v="100165"/>
    <d v="2026-05-17T00:00:00"/>
    <s v="LG-01"/>
    <s v="Lagos"/>
    <s v="Online"/>
    <x v="1"/>
    <s v="Smartphone"/>
    <s v="C1036"/>
    <s v="Returning"/>
    <n v="1"/>
    <n v="165000"/>
    <n v="0"/>
    <n v="165000"/>
    <n v="112000"/>
    <s v="No"/>
    <s v="Fatima"/>
    <n v="165000"/>
    <n v="0"/>
    <n v="112000"/>
    <n v="53000"/>
    <n v="5"/>
    <b v="0"/>
  </r>
  <r>
    <n v="100166"/>
    <d v="2026-05-02T00:00:00"/>
    <s v="LG-01"/>
    <s v="Lagos"/>
    <s v="Online"/>
    <x v="1"/>
    <s v="Earbuds"/>
    <s v="C1013"/>
    <s v="Returning"/>
    <n v="3"/>
    <n v="32000"/>
    <n v="0.05"/>
    <n v="91200"/>
    <n v="19000"/>
    <s v="No"/>
    <s v="Aisha"/>
    <n v="91200"/>
    <n v="0"/>
    <n v="57000"/>
    <n v="34200"/>
    <n v="5"/>
    <b v="0"/>
  </r>
  <r>
    <n v="100167"/>
    <d v="2026-08-18T00:00:00"/>
    <s v="LG-02"/>
    <s v="Lagos"/>
    <s v="WhatsApp"/>
    <x v="1"/>
    <s v="Earbuds"/>
    <s v="C1023"/>
    <s v="New"/>
    <n v="1"/>
    <n v="32000"/>
    <n v="0.1"/>
    <n v="28800"/>
    <n v="19000"/>
    <s v="No"/>
    <s v="Aisha"/>
    <n v="28800"/>
    <n v="0"/>
    <n v="19000"/>
    <n v="9800"/>
    <n v="5"/>
    <b v="0"/>
  </r>
  <r>
    <n v="100168"/>
    <d v="2026-08-17T00:00:00"/>
    <s v="KN-01"/>
    <s v="Kano"/>
    <s v="WhatsApp"/>
    <x v="1"/>
    <s v="Earbuds"/>
    <s v="C1134"/>
    <s v="New"/>
    <n v="22"/>
    <n v="32000"/>
    <n v="0.05"/>
    <n v="668800"/>
    <n v="19000"/>
    <s v="Yes"/>
    <s v="Chinedu"/>
    <n v="668800"/>
    <n v="0"/>
    <n v="418000"/>
    <n v="250800"/>
    <n v="4"/>
    <b v="0"/>
  </r>
  <r>
    <n v="100169"/>
    <d v="2026-02-02T00:00:00"/>
    <s v="AB-01"/>
    <s v="Abuja"/>
    <s v="WhatsApp"/>
    <x v="1"/>
    <s v="Power Bank"/>
    <s v="C1176"/>
    <s v="Returning"/>
    <n v="3"/>
    <n v="26000"/>
    <n v="0.15"/>
    <n v="66300"/>
    <n v="15000"/>
    <s v="Yes"/>
    <s v="David"/>
    <n v="66300"/>
    <n v="0"/>
    <n v="45000"/>
    <n v="21300"/>
    <n v="5"/>
    <b v="0"/>
  </r>
  <r>
    <n v="100170"/>
    <d v="2026-05-16T00:00:00"/>
    <s v="LG-02"/>
    <s v="Lagos"/>
    <s v="In-store"/>
    <x v="1"/>
    <s v="Power Bank"/>
    <s v="C1004"/>
    <s v="New"/>
    <n v="1"/>
    <n v="26000"/>
    <n v="0.05"/>
    <n v="24700"/>
    <n v="15000"/>
    <s v="No"/>
    <s v="Ibrahim"/>
    <n v="24700"/>
    <n v="0"/>
    <n v="15000"/>
    <n v="9700"/>
    <n v="5"/>
    <b v="0"/>
  </r>
  <r>
    <n v="100171"/>
    <d v="2026-07-24T00:00:00"/>
    <s v="KN-01"/>
    <s v="Kano"/>
    <s v="Online"/>
    <x v="0"/>
    <s v="Electric Kettle"/>
    <s v="C1026"/>
    <s v="Returning"/>
    <n v="3"/>
    <n v="24000"/>
    <n v="0.15"/>
    <n v="61200"/>
    <n v="15000"/>
    <s v="No"/>
    <s v="Grace"/>
    <n v="61200"/>
    <n v="0"/>
    <n v="45000"/>
    <n v="16200"/>
    <n v="4"/>
    <b v="0"/>
  </r>
  <r>
    <n v="100172"/>
    <d v="2026-03-29T00:00:00"/>
    <s v="IB-01"/>
    <s v="Ibadan"/>
    <s v="In-store"/>
    <x v="2"/>
    <s v="Backpack"/>
    <s v="C1172"/>
    <s v="New"/>
    <n v="2"/>
    <n v="28000"/>
    <n v="0.15"/>
    <n v="52360"/>
    <n v="16000"/>
    <s v="No"/>
    <s v="David"/>
    <n v="47600"/>
    <n v="4760"/>
    <n v="32000"/>
    <n v="15600"/>
    <n v="6"/>
    <b v="0"/>
  </r>
  <r>
    <n v="100173"/>
    <d v="2026-01-30T00:00:00"/>
    <s v="KN-01"/>
    <s v="Kano"/>
    <s v="Online"/>
    <x v="2"/>
    <s v="USB Cable"/>
    <s v="C1102"/>
    <s v="Returning"/>
    <n v="1"/>
    <n v="6500"/>
    <n v="0.1"/>
    <n v="5850"/>
    <n v="2200"/>
    <s v="Yes"/>
    <s v="Chinedu"/>
    <n v="5850"/>
    <n v="0"/>
    <n v="2200"/>
    <n v="3650"/>
    <n v="4"/>
    <b v="0"/>
  </r>
  <r>
    <n v="100174"/>
    <d v="2026-08-03T00:00:00"/>
    <s v="LG-01"/>
    <s v="Lagos"/>
    <s v="In-store"/>
    <x v="2"/>
    <s v="USB Cable"/>
    <s v="C1096"/>
    <s v="Returning"/>
    <n v="2"/>
    <n v="6500"/>
    <n v="0.15"/>
    <n v="11050"/>
    <n v="2200"/>
    <s v="No"/>
    <s v="Aisha"/>
    <n v="11050"/>
    <n v="0"/>
    <n v="4400"/>
    <n v="6650"/>
    <n v="5"/>
    <b v="0"/>
  </r>
  <r>
    <n v="100175"/>
    <d v="2026-01-17T00:00:00"/>
    <s v="AB-02"/>
    <s v="Abuja"/>
    <s v="In-store"/>
    <x v="0"/>
    <s v="Electric Kettle"/>
    <s v="C1102"/>
    <s v="Returning"/>
    <n v="5"/>
    <n v="24000"/>
    <n v="0.25"/>
    <n v="90000"/>
    <n v="15000"/>
    <s v="No"/>
    <s v="David"/>
    <n v="90000"/>
    <n v="0"/>
    <n v="75000"/>
    <n v="15000"/>
    <n v="5"/>
    <b v="0"/>
  </r>
  <r>
    <n v="100176"/>
    <d v="2026-08-21T00:00:00"/>
    <s v="IB-01"/>
    <s v="Ibadan"/>
    <s v="Online"/>
    <x v="2"/>
    <s v="Phone Case"/>
    <s v="C1134"/>
    <s v="New"/>
    <n v="2"/>
    <n v="9000"/>
    <n v="0.1"/>
    <n v="16200"/>
    <n v="3500"/>
    <s v="No"/>
    <s v="Ibrahim"/>
    <n v="16200"/>
    <n v="0"/>
    <n v="7000"/>
    <n v="9200"/>
    <n v="6"/>
    <b v="0"/>
  </r>
  <r>
    <n v="100177"/>
    <d v="2026-06-07T00:00:00"/>
    <s v="AB-02"/>
    <s v="Abuja"/>
    <s v="WhatsApp"/>
    <x v="0"/>
    <s v="Standing Fan"/>
    <s v="C1123"/>
    <s v="New"/>
    <n v="1"/>
    <n v="58000"/>
    <n v="0.2"/>
    <n v="46400"/>
    <n v="39000"/>
    <s v="No"/>
    <s v="Kemi"/>
    <n v="46400"/>
    <n v="0"/>
    <n v="39000"/>
    <n v="7400"/>
    <n v="5"/>
    <b v="0"/>
  </r>
  <r>
    <n v="100178"/>
    <d v="2026-03-14T00:00:00"/>
    <s v="KN-01"/>
    <s v="Kano"/>
    <s v="In-store"/>
    <x v="2"/>
    <s v="USB Cable"/>
    <s v="C1029"/>
    <s v="Returning"/>
    <n v="2"/>
    <n v="6500"/>
    <n v="0.15"/>
    <n v="11050"/>
    <n v="2200"/>
    <s v="No"/>
    <s v="Grace"/>
    <n v="11050"/>
    <n v="0"/>
    <n v="4400"/>
    <n v="6650"/>
    <n v="4"/>
    <b v="0"/>
  </r>
  <r>
    <n v="100179"/>
    <d v="2026-03-04T00:00:00"/>
    <s v="KN-01"/>
    <s v="Kano"/>
    <s v="In-store"/>
    <x v="1"/>
    <s v="Earbuds"/>
    <s v="C1120"/>
    <s v="Returning"/>
    <n v="5"/>
    <n v="32000"/>
    <n v="0.15"/>
    <n v="136000"/>
    <n v="19000"/>
    <s v="No"/>
    <s v="Grace"/>
    <n v="136000"/>
    <n v="0"/>
    <n v="95000"/>
    <n v="41000"/>
    <n v="4"/>
    <b v="0"/>
  </r>
  <r>
    <n v="100180"/>
    <d v="2026-05-25T00:00:00"/>
    <s v="LG-02"/>
    <s v="Lagos"/>
    <s v="In-store"/>
    <x v="2"/>
    <s v="Backpack"/>
    <s v="C1161"/>
    <s v="New"/>
    <n v="3"/>
    <n v="28000"/>
    <n v="0.05"/>
    <n v="79800"/>
    <n v="16000"/>
    <s v="No"/>
    <s v="Chinedu"/>
    <n v="79800"/>
    <n v="0"/>
    <n v="48000"/>
    <n v="31800"/>
    <n v="5"/>
    <b v="0"/>
  </r>
  <r>
    <n v="100181"/>
    <d v="2026-01-30T00:00:00"/>
    <s v="PH-01"/>
    <s v="Port Harcourt"/>
    <s v="Online"/>
    <x v="0"/>
    <s v="Electric Kettle"/>
    <s v="C1112"/>
    <s v="Returning"/>
    <n v="1"/>
    <n v="24000"/>
    <n v="0.1"/>
    <n v="21600"/>
    <n v="15000"/>
    <s v="Yes"/>
    <s v="Chinedu"/>
    <n v="21600"/>
    <n v="0"/>
    <n v="15000"/>
    <n v="6600"/>
    <n v="13"/>
    <b v="0"/>
  </r>
  <r>
    <n v="100182"/>
    <d v="2026-03-13T00:00:00"/>
    <s v="AB-01"/>
    <s v="Abuja"/>
    <s v="Online"/>
    <x v="2"/>
    <s v="Backpack"/>
    <s v="C1097"/>
    <s v="Returning"/>
    <n v="2"/>
    <n v="28000"/>
    <n v="0.2"/>
    <n v="44800"/>
    <n v="16000"/>
    <s v="Yes"/>
    <s v="Kemi"/>
    <n v="44800"/>
    <n v="0"/>
    <n v="32000"/>
    <n v="12800"/>
    <n v="5"/>
    <b v="0"/>
  </r>
  <r>
    <n v="100183"/>
    <d v="2026-07-16T00:00:00"/>
    <s v="IB-01"/>
    <s v="Ibadan"/>
    <s v="In-store"/>
    <x v="0"/>
    <s v="Standing Fan"/>
    <s v="C1061"/>
    <s v="Returning"/>
    <n v="5"/>
    <n v="58000"/>
    <n v="0.15"/>
    <n v="246500"/>
    <n v="39000"/>
    <s v="No"/>
    <s v="Grace"/>
    <n v="246500"/>
    <n v="0"/>
    <n v="195000"/>
    <n v="51500"/>
    <n v="6"/>
    <b v="0"/>
  </r>
  <r>
    <n v="100184"/>
    <d v="2026-01-22T00:00:00"/>
    <s v="LG-02"/>
    <s v="Lagos"/>
    <s v="In-store"/>
    <x v="0"/>
    <s v="Blender"/>
    <s v="C1102"/>
    <s v="New"/>
    <n v="1"/>
    <n v="42000"/>
    <n v="0"/>
    <n v="42000"/>
    <n v="28000"/>
    <s v="No"/>
    <s v="David"/>
    <n v="42000"/>
    <n v="0"/>
    <n v="28000"/>
    <n v="14000"/>
    <n v="5"/>
    <b v="0"/>
  </r>
  <r>
    <n v="100185"/>
    <d v="2026-01-13T00:00:00"/>
    <s v="AB-01"/>
    <s v="Abuja"/>
    <s v="WhatsApp"/>
    <x v="0"/>
    <s v="Blender"/>
    <s v="C1165"/>
    <s v="Returning"/>
    <n v="2"/>
    <n v="42000"/>
    <n v="0.15"/>
    <n v="71400"/>
    <n v="28000"/>
    <s v="No"/>
    <s v="Kemi"/>
    <n v="71400"/>
    <n v="0"/>
    <n v="56000"/>
    <n v="15400"/>
    <n v="5"/>
    <b v="0"/>
  </r>
  <r>
    <n v="100186"/>
    <d v="2026-01-19T00:00:00"/>
    <s v="AB-02"/>
    <s v="Abuja"/>
    <s v="Online"/>
    <x v="2"/>
    <s v="Phone Case"/>
    <s v="C1014"/>
    <s v="New"/>
    <n v="2"/>
    <n v="9000"/>
    <n v="0.05"/>
    <n v="17100"/>
    <n v="3500"/>
    <s v="No"/>
    <s v="Grace"/>
    <n v="17100"/>
    <n v="0"/>
    <n v="7000"/>
    <n v="10100"/>
    <n v="5"/>
    <b v="0"/>
  </r>
  <r>
    <n v="100187"/>
    <d v="2026-01-03T00:00:00"/>
    <s v="KN-01"/>
    <s v="Kano"/>
    <s v="In-store"/>
    <x v="0"/>
    <s v="Standing Fan"/>
    <s v="C1181"/>
    <s v="New"/>
    <n v="2"/>
    <n v="58000"/>
    <n v="0.1"/>
    <n v="104400"/>
    <n v="39000"/>
    <s v="No"/>
    <s v="Ibrahim"/>
    <n v="104400"/>
    <n v="0"/>
    <n v="78000"/>
    <n v="26400"/>
    <n v="4"/>
    <b v="0"/>
  </r>
  <r>
    <n v="100188"/>
    <d v="2026-05-28T00:00:00"/>
    <s v="KN-01"/>
    <s v="Kano"/>
    <s v="Online"/>
    <x v="1"/>
    <s v="Earbuds"/>
    <s v="C1170"/>
    <s v="New"/>
    <n v="1"/>
    <n v="32000"/>
    <n v="0.1"/>
    <n v="28800"/>
    <n v="19000"/>
    <s v="No"/>
    <s v="Kemi"/>
    <n v="28800"/>
    <n v="0"/>
    <n v="19000"/>
    <n v="9800"/>
    <n v="4"/>
    <b v="0"/>
  </r>
  <r>
    <n v="100189"/>
    <d v="2026-04-24T00:00:00"/>
    <s v="AB-02"/>
    <s v="Abuja"/>
    <s v="WhatsApp"/>
    <x v="2"/>
    <s v="USB Cable"/>
    <s v="C1117"/>
    <s v="Returning"/>
    <n v="1"/>
    <n v="6500"/>
    <n v="0.05"/>
    <n v="6175"/>
    <n v="2200"/>
    <s v="No"/>
    <s v="Chinedu"/>
    <n v="6175"/>
    <n v="0"/>
    <n v="2200"/>
    <n v="3975"/>
    <n v="5"/>
    <b v="0"/>
  </r>
  <r>
    <n v="100190"/>
    <d v="2026-05-16T00:00:00"/>
    <s v="LG-01"/>
    <s v="Lagos"/>
    <s v="WhatsApp"/>
    <x v="0"/>
    <s v="Blender"/>
    <s v="C1022"/>
    <s v="Returning"/>
    <n v="2"/>
    <n v="42000"/>
    <n v="0.15"/>
    <n v="71400"/>
    <n v="28000"/>
    <s v="No"/>
    <s v="Bola"/>
    <n v="71400"/>
    <n v="0"/>
    <n v="56000"/>
    <n v="15400"/>
    <n v="5"/>
    <b v="0"/>
  </r>
  <r>
    <n v="100191"/>
    <d v="2026-01-29T00:00:00"/>
    <s v="IB-01"/>
    <s v="Ibadan"/>
    <s v="In-store"/>
    <x v="2"/>
    <s v="USB Cable"/>
    <s v="C1026"/>
    <s v="New"/>
    <n v="3"/>
    <n v="6500"/>
    <n v="0.1"/>
    <n v="17550"/>
    <n v="2200"/>
    <s v="No"/>
    <s v="David"/>
    <n v="17550"/>
    <n v="0"/>
    <n v="6600"/>
    <n v="10950"/>
    <n v="6"/>
    <b v="0"/>
  </r>
  <r>
    <n v="100192"/>
    <d v="2026-03-07T00:00:00"/>
    <s v="KN-01"/>
    <s v="Kano"/>
    <s v="Online"/>
    <x v="1"/>
    <s v="Smartphone"/>
    <s v="C1128"/>
    <s v="Returning"/>
    <n v="2"/>
    <n v="165000"/>
    <n v="0.1"/>
    <n v="267300"/>
    <n v="112000"/>
    <s v="No"/>
    <s v="David"/>
    <n v="297000"/>
    <n v="-29700"/>
    <n v="224000"/>
    <n v="73000"/>
    <n v="4"/>
    <b v="0"/>
  </r>
  <r>
    <n v="100193"/>
    <d v="2026-07-23T00:00:00"/>
    <s v="PH-01"/>
    <s v="Port Harcourt"/>
    <s v="Online"/>
    <x v="1"/>
    <s v="Power Bank"/>
    <s v="C1112"/>
    <s v="New"/>
    <n v="3"/>
    <n v="26000"/>
    <n v="0.1"/>
    <n v="70200"/>
    <n v="15000"/>
    <s v="No"/>
    <s v="Bola"/>
    <n v="70200"/>
    <n v="0"/>
    <n v="45000"/>
    <n v="25200"/>
    <n v="13"/>
    <b v="0"/>
  </r>
  <r>
    <n v="100194"/>
    <d v="2026-05-23T00:00:00"/>
    <s v="AB-02"/>
    <s v="Abuja"/>
    <s v="WhatsApp"/>
    <x v="1"/>
    <s v="Smartphone"/>
    <s v="C1150"/>
    <s v="Returning"/>
    <n v="3"/>
    <n v="165000"/>
    <n v="0.25"/>
    <n v="371250"/>
    <n v="112000"/>
    <s v="No"/>
    <s v="Bola"/>
    <n v="371250"/>
    <n v="0"/>
    <n v="336000"/>
    <n v="35250"/>
    <n v="5"/>
    <b v="0"/>
  </r>
  <r>
    <n v="100195"/>
    <d v="2026-03-28T00:00:00"/>
    <s v="PH-01"/>
    <s v="Port Harcourt"/>
    <s v="In-store"/>
    <x v="0"/>
    <s v="Electric Kettle"/>
    <s v="C1188"/>
    <s v="New"/>
    <n v="2"/>
    <n v="24000"/>
    <n v="0.05"/>
    <n v="45600"/>
    <n v="15000"/>
    <s v="No"/>
    <s v="Ibrahim"/>
    <n v="45600"/>
    <n v="0"/>
    <n v="30000"/>
    <n v="15600"/>
    <n v="13"/>
    <b v="0"/>
  </r>
  <r>
    <n v="100196"/>
    <d v="2026-02-25T00:00:00"/>
    <s v="LG-02"/>
    <s v="Lagos"/>
    <s v="In-store"/>
    <x v="1"/>
    <s v="Earbuds"/>
    <s v="C1147"/>
    <s v="Returning"/>
    <n v="4"/>
    <n v="32000"/>
    <n v="0.1"/>
    <n v="115200"/>
    <n v="19000"/>
    <s v="No"/>
    <s v="Grace"/>
    <n v="115200"/>
    <n v="0"/>
    <n v="76000"/>
    <n v="39200"/>
    <n v="5"/>
    <b v="0"/>
  </r>
  <r>
    <n v="100197"/>
    <d v="2026-08-01T00:00:00"/>
    <s v="AB-01"/>
    <s v="Abuja"/>
    <s v="Online"/>
    <x v="2"/>
    <s v="Phone Case"/>
    <s v="C1152"/>
    <s v="Returning"/>
    <n v="1"/>
    <n v="9000"/>
    <n v="0.25"/>
    <n v="6750"/>
    <n v="3500"/>
    <s v="Yes"/>
    <s v="Kemi"/>
    <n v="6750"/>
    <n v="0"/>
    <n v="3500"/>
    <n v="3250"/>
    <n v="5"/>
    <b v="0"/>
  </r>
  <r>
    <n v="100198"/>
    <d v="2026-04-30T00:00:00"/>
    <s v="KN-01"/>
    <s v="Kano"/>
    <s v="Online"/>
    <x v="1"/>
    <s v="Smartphone"/>
    <s v="C1024"/>
    <s v="Returning"/>
    <n v="2"/>
    <n v="165000"/>
    <n v="0.05"/>
    <n v="313500"/>
    <n v="112000"/>
    <s v="No"/>
    <s v="Fatima"/>
    <n v="313500"/>
    <n v="0"/>
    <n v="224000"/>
    <n v="89500"/>
    <n v="4"/>
    <b v="0"/>
  </r>
  <r>
    <n v="100199"/>
    <d v="2026-05-28T00:00:00"/>
    <s v="IB-01"/>
    <s v="Ibadan"/>
    <s v="WhatsApp"/>
    <x v="2"/>
    <s v="Backpack"/>
    <s v="C1135"/>
    <s v="Returning"/>
    <n v="2"/>
    <n v="28000"/>
    <n v="0.05"/>
    <n v="53200"/>
    <n v="16000"/>
    <s v="No"/>
    <s v="David"/>
    <n v="53200"/>
    <n v="0"/>
    <n v="32000"/>
    <n v="21200"/>
    <n v="6"/>
    <b v="0"/>
  </r>
  <r>
    <n v="100200"/>
    <d v="2026-01-02T00:00:00"/>
    <s v="KN-01"/>
    <s v="Kano"/>
    <s v="In-store"/>
    <x v="2"/>
    <s v="Backpack"/>
    <s v="C1108"/>
    <s v="Returning"/>
    <n v="2"/>
    <n v="28000"/>
    <n v="0.05"/>
    <n v="53200"/>
    <n v="16000"/>
    <s v="No"/>
    <s v="Ibrahim"/>
    <n v="53200"/>
    <n v="0"/>
    <n v="32000"/>
    <n v="21200"/>
    <n v="4"/>
    <b v="0"/>
  </r>
  <r>
    <n v="100201"/>
    <d v="2026-02-22T00:00:00"/>
    <s v="KN-01"/>
    <s v="Kano"/>
    <s v="Online"/>
    <x v="2"/>
    <s v="USB Cable"/>
    <s v="C1161"/>
    <s v="New"/>
    <n v="4"/>
    <n v="6500"/>
    <n v="0"/>
    <n v="26000"/>
    <n v="2200"/>
    <s v="Yes"/>
    <s v="Aisha"/>
    <n v="26000"/>
    <n v="0"/>
    <n v="8800"/>
    <n v="17200"/>
    <n v="4"/>
    <b v="0"/>
  </r>
  <r>
    <n v="100202"/>
    <d v="2026-07-25T00:00:00"/>
    <s v="AB-01"/>
    <s v="Abuja"/>
    <s v="Online"/>
    <x v="2"/>
    <s v="USB Cable"/>
    <s v="C1097"/>
    <s v="New"/>
    <n v="1"/>
    <n v="6500"/>
    <n v="0.05"/>
    <n v="6175"/>
    <n v="2200"/>
    <s v="No"/>
    <s v="Fatima"/>
    <n v="6175"/>
    <n v="0"/>
    <n v="2200"/>
    <n v="3975"/>
    <n v="5"/>
    <b v="0"/>
  </r>
  <r>
    <n v="100203"/>
    <d v="2026-05-09T00:00:00"/>
    <s v="AB-01"/>
    <s v="Abuja"/>
    <s v="In-store"/>
    <x v="1"/>
    <s v="Smartphone"/>
    <s v="C1062"/>
    <s v="Returning"/>
    <n v="1"/>
    <n v="165000"/>
    <n v="0.25"/>
    <n v="123750"/>
    <n v="112000"/>
    <s v="No"/>
    <s v="Ibrahim"/>
    <n v="123750"/>
    <n v="0"/>
    <n v="112000"/>
    <n v="11750"/>
    <n v="5"/>
    <b v="0"/>
  </r>
  <r>
    <n v="100204"/>
    <d v="2026-03-18T00:00:00"/>
    <s v="AB-02"/>
    <s v="Abuja"/>
    <s v="In-store"/>
    <x v="2"/>
    <s v="Phone Case"/>
    <s v="C1021"/>
    <s v="Returning"/>
    <n v="3"/>
    <n v="9000"/>
    <n v="0.25"/>
    <n v="20250"/>
    <n v="3500"/>
    <s v="No"/>
    <s v="Fatima"/>
    <n v="20250"/>
    <n v="0"/>
    <n v="10500"/>
    <n v="9750"/>
    <n v="5"/>
    <b v="0"/>
  </r>
  <r>
    <n v="100205"/>
    <d v="2026-01-10T00:00:00"/>
    <s v="PH-01"/>
    <s v="Port Harcourt"/>
    <s v="Online"/>
    <x v="0"/>
    <s v="Electric Kettle"/>
    <s v="C1131"/>
    <s v="New"/>
    <n v="5"/>
    <n v="24000"/>
    <n v="0.1"/>
    <n v="108000"/>
    <n v="15000"/>
    <s v="No"/>
    <s v="Grace"/>
    <n v="108000"/>
    <n v="0"/>
    <n v="75000"/>
    <n v="33000"/>
    <n v="13"/>
    <b v="0"/>
  </r>
  <r>
    <n v="100206"/>
    <d v="2026-08-10T00:00:00"/>
    <s v="LG-02"/>
    <s v="Lagos"/>
    <s v="WhatsApp"/>
    <x v="0"/>
    <s v="Standing Fan"/>
    <s v="C1097"/>
    <s v="New"/>
    <n v="1"/>
    <n v="58000"/>
    <n v="0.15"/>
    <n v="49300"/>
    <n v="39000"/>
    <s v="No"/>
    <s v="Aisha"/>
    <n v="49300"/>
    <n v="0"/>
    <n v="39000"/>
    <n v="10300"/>
    <n v="5"/>
    <b v="0"/>
  </r>
  <r>
    <n v="100207"/>
    <d v="2026-03-31T00:00:00"/>
    <s v="IB-01"/>
    <s v="Ibadan"/>
    <s v="In-store"/>
    <x v="1"/>
    <s v="Smartphone"/>
    <s v="C1166"/>
    <s v="Returning"/>
    <n v="1"/>
    <n v="165000"/>
    <n v="0.1"/>
    <n v="148500"/>
    <n v="112000"/>
    <s v="No"/>
    <s v="Kemi"/>
    <n v="148500"/>
    <n v="0"/>
    <n v="112000"/>
    <n v="36500"/>
    <n v="6"/>
    <b v="0"/>
  </r>
  <r>
    <n v="100208"/>
    <d v="2026-03-19T00:00:00"/>
    <s v="AB-02"/>
    <s v="Abuja"/>
    <s v="In-store"/>
    <x v="0"/>
    <s v="Standing Fan"/>
    <s v="C1076"/>
    <s v="Returning"/>
    <n v="2"/>
    <n v="58000"/>
    <n v="0.15"/>
    <n v="98600"/>
    <n v="39000"/>
    <s v="No"/>
    <s v="Kemi"/>
    <n v="98600"/>
    <n v="0"/>
    <n v="78000"/>
    <n v="20600"/>
    <n v="5"/>
    <b v="0"/>
  </r>
  <r>
    <n v="100209"/>
    <d v="2026-07-04T00:00:00"/>
    <s v="KN-01"/>
    <s v="Kano"/>
    <s v="In-store"/>
    <x v="1"/>
    <s v="Power Bank"/>
    <s v="C1145"/>
    <s v="Returning"/>
    <n v="3"/>
    <n v="26000"/>
    <n v="0"/>
    <n v="78000"/>
    <n v="15000"/>
    <s v="No"/>
    <s v="Kemi"/>
    <n v="78000"/>
    <n v="0"/>
    <n v="45000"/>
    <n v="33000"/>
    <n v="4"/>
    <b v="0"/>
  </r>
  <r>
    <n v="100210"/>
    <d v="2026-08-05T00:00:00"/>
    <s v="PH-01"/>
    <s v="Port Harcourt"/>
    <s v="In-store"/>
    <x v="1"/>
    <s v="Earbuds"/>
    <s v="C1119"/>
    <s v="Returning"/>
    <n v="1"/>
    <n v="32000"/>
    <n v="0"/>
    <n v="32000"/>
    <n v="19000"/>
    <s v="No"/>
    <s v="Grace"/>
    <n v="32000"/>
    <n v="0"/>
    <n v="19000"/>
    <n v="13000"/>
    <n v="13"/>
    <b v="0"/>
  </r>
  <r>
    <n v="100211"/>
    <d v="2026-08-26T00:00:00"/>
    <s v="KN-01"/>
    <s v="Kano"/>
    <s v="In-store"/>
    <x v="0"/>
    <s v="Blender"/>
    <s v="C1081"/>
    <s v="Returning"/>
    <n v="4"/>
    <n v="42000"/>
    <n v="0"/>
    <n v="168000"/>
    <n v="28000"/>
    <s v="No"/>
    <s v="Fatima"/>
    <n v="168000"/>
    <n v="0"/>
    <n v="112000"/>
    <n v="56000"/>
    <n v="4"/>
    <b v="0"/>
  </r>
  <r>
    <n v="100212"/>
    <d v="2026-04-05T00:00:00"/>
    <s v="IB-01"/>
    <s v="Ibadan"/>
    <s v="Online"/>
    <x v="0"/>
    <s v="Electric Kettle"/>
    <s v="C1156"/>
    <s v="Returning"/>
    <n v="2"/>
    <n v="24000"/>
    <n v="0.15"/>
    <n v="40800"/>
    <n v="15000"/>
    <s v="No"/>
    <s v="Ibrahim"/>
    <n v="40800"/>
    <n v="0"/>
    <n v="30000"/>
    <n v="10800"/>
    <n v="6"/>
    <b v="0"/>
  </r>
  <r>
    <n v="100213"/>
    <d v="2026-01-01T00:00:00"/>
    <s v="AB-02"/>
    <s v="Abuja"/>
    <s v="In-store"/>
    <x v="1"/>
    <s v="Smartphone"/>
    <s v="C1085"/>
    <s v="New"/>
    <n v="2"/>
    <n v="165000"/>
    <n v="0.15"/>
    <n v="280500"/>
    <n v="112000"/>
    <s v="No"/>
    <s v="Fatima"/>
    <n v="280500"/>
    <n v="0"/>
    <n v="224000"/>
    <n v="56500"/>
    <n v="5"/>
    <b v="0"/>
  </r>
  <r>
    <n v="100214"/>
    <d v="2026-03-05T00:00:00"/>
    <s v="LG-01"/>
    <s v="Lagos"/>
    <s v="In-store"/>
    <x v="2"/>
    <s v="USB Cable"/>
    <s v="C1165"/>
    <s v="New"/>
    <n v="2"/>
    <n v="6500"/>
    <n v="0.05"/>
    <n v="12350"/>
    <n v="2200"/>
    <s v="No"/>
    <s v="Grace"/>
    <n v="12350"/>
    <n v="0"/>
    <n v="4400"/>
    <n v="7950"/>
    <n v="5"/>
    <b v="0"/>
  </r>
  <r>
    <n v="100215"/>
    <d v="2026-04-16T00:00:00"/>
    <s v="KN-01"/>
    <s v="Kano"/>
    <s v="In-store"/>
    <x v="1"/>
    <s v="Power Bank"/>
    <s v="C1024"/>
    <s v="New"/>
    <n v="3"/>
    <n v="26000"/>
    <n v="0"/>
    <n v="78000"/>
    <n v="15000"/>
    <s v="No"/>
    <s v="Grace"/>
    <n v="78000"/>
    <n v="0"/>
    <n v="45000"/>
    <n v="33000"/>
    <n v="4"/>
    <b v="0"/>
  </r>
  <r>
    <n v="100216"/>
    <d v="2026-05-19T00:00:00"/>
    <s v="LG-01"/>
    <s v="Lagos"/>
    <s v="Online"/>
    <x v="2"/>
    <s v="USB Cable"/>
    <s v="C1076"/>
    <s v="New"/>
    <n v="4"/>
    <n v="6500"/>
    <n v="0"/>
    <n v="26000"/>
    <n v="2200"/>
    <s v="No"/>
    <s v="Chinedu"/>
    <n v="26000"/>
    <n v="0"/>
    <n v="8800"/>
    <n v="17200"/>
    <n v="5"/>
    <b v="0"/>
  </r>
  <r>
    <n v="100217"/>
    <d v="2026-06-25T00:00:00"/>
    <s v="LG-02"/>
    <s v="Lagos"/>
    <s v="Online"/>
    <x v="0"/>
    <s v="Electric Kettle"/>
    <s v="C1144"/>
    <s v="Returning"/>
    <n v="2"/>
    <n v="24000"/>
    <n v="0.05"/>
    <n v="45600"/>
    <n v="15000"/>
    <s v="No"/>
    <s v="Fatima"/>
    <n v="45600"/>
    <n v="0"/>
    <n v="30000"/>
    <n v="15600"/>
    <n v="5"/>
    <b v="0"/>
  </r>
  <r>
    <n v="100218"/>
    <d v="2026-04-08T00:00:00"/>
    <s v="LG-02"/>
    <s v="Lagos"/>
    <s v="WhatsApp"/>
    <x v="0"/>
    <s v="Standing Fan"/>
    <s v="C1098"/>
    <s v="New"/>
    <n v="3"/>
    <n v="58000"/>
    <n v="0.05"/>
    <n v="165300"/>
    <n v="39000"/>
    <s v="No"/>
    <s v="Fatima"/>
    <n v="165300"/>
    <n v="0"/>
    <n v="117000"/>
    <n v="48300"/>
    <n v="5"/>
    <b v="0"/>
  </r>
  <r>
    <n v="100219"/>
    <d v="2026-08-19T00:00:00"/>
    <s v="PH-01"/>
    <s v="Port Harcourt"/>
    <s v="In-store"/>
    <x v="0"/>
    <s v="Standing Fan"/>
    <s v="C1107"/>
    <s v="Returning"/>
    <n v="5"/>
    <n v="58000"/>
    <n v="0.15"/>
    <n v="246500"/>
    <n v="39000"/>
    <s v="No"/>
    <s v="Grace"/>
    <n v="246500"/>
    <n v="0"/>
    <n v="195000"/>
    <n v="51500"/>
    <n v="13"/>
    <b v="0"/>
  </r>
  <r>
    <n v="100220"/>
    <d v="2026-01-02T00:00:00"/>
    <s v="KN-01"/>
    <s v="Kano"/>
    <s v="WhatsApp"/>
    <x v="1"/>
    <s v="Power Bank"/>
    <s v="C1104"/>
    <s v="Returning"/>
    <n v="2"/>
    <n v="26000"/>
    <n v="0"/>
    <n v="52000"/>
    <n v="15000"/>
    <s v="No"/>
    <s v="Chinedu"/>
    <n v="52000"/>
    <n v="0"/>
    <n v="30000"/>
    <n v="22000"/>
    <n v="4"/>
    <b v="0"/>
  </r>
  <r>
    <n v="100221"/>
    <d v="2026-03-30T00:00:00"/>
    <s v="IB-01"/>
    <s v="Ibadan"/>
    <s v="In-store"/>
    <x v="2"/>
    <s v="Backpack"/>
    <s v="C1003"/>
    <s v="Returning"/>
    <n v="3"/>
    <n v="28000"/>
    <n v="0.1"/>
    <n v="75600"/>
    <n v="16000"/>
    <s v="No"/>
    <s v="Fatima"/>
    <n v="75600"/>
    <n v="0"/>
    <n v="48000"/>
    <n v="27600"/>
    <n v="6"/>
    <b v="0"/>
  </r>
  <r>
    <n v="100222"/>
    <d v="2026-08-21T00:00:00"/>
    <s v="AB-02"/>
    <s v="Abuja"/>
    <s v="WhatsApp"/>
    <x v="0"/>
    <s v="Standing Fan"/>
    <s v="C1178"/>
    <s v="New"/>
    <n v="3"/>
    <n v="58000"/>
    <n v="0.25"/>
    <n v="130500"/>
    <n v="39000"/>
    <s v="Yes"/>
    <s v="Ibrahim"/>
    <n v="130500"/>
    <n v="0"/>
    <n v="117000"/>
    <n v="13500"/>
    <n v="5"/>
    <b v="0"/>
  </r>
  <r>
    <n v="100223"/>
    <d v="2026-05-23T00:00:00"/>
    <s v="PH-01"/>
    <s v="Port Harcourt"/>
    <s v="WhatsApp"/>
    <x v="0"/>
    <s v="Blender"/>
    <s v="C1033"/>
    <s v="Returning"/>
    <n v="3"/>
    <n v="42000"/>
    <n v="0.15"/>
    <n v="107100"/>
    <n v="28000"/>
    <s v="No"/>
    <s v="David"/>
    <n v="107100"/>
    <n v="0"/>
    <n v="84000"/>
    <n v="23100"/>
    <n v="13"/>
    <b v="0"/>
  </r>
  <r>
    <n v="100224"/>
    <d v="2026-05-07T00:00:00"/>
    <s v="LG-02"/>
    <s v="Lagos"/>
    <s v="Online"/>
    <x v="1"/>
    <s v="Earbuds"/>
    <s v="C1013"/>
    <s v="Returning"/>
    <n v="1"/>
    <n v="32000"/>
    <n v="0.1"/>
    <n v="28800"/>
    <n v="19000"/>
    <s v="No"/>
    <s v="Grace"/>
    <n v="28800"/>
    <n v="0"/>
    <n v="19000"/>
    <n v="9800"/>
    <n v="5"/>
    <b v="0"/>
  </r>
  <r>
    <n v="100225"/>
    <d v="2026-02-26T00:00:00"/>
    <s v="KN-01"/>
    <s v="Kano"/>
    <s v="Online"/>
    <x v="0"/>
    <s v="Electric Kettle"/>
    <s v="C1126"/>
    <s v="New"/>
    <n v="1"/>
    <n v="24000"/>
    <n v="0.05"/>
    <n v="22800"/>
    <n v="15000"/>
    <s v="No"/>
    <s v="Kemi"/>
    <n v="22800"/>
    <n v="0"/>
    <n v="15000"/>
    <n v="7800"/>
    <n v="4"/>
    <b v="0"/>
  </r>
  <r>
    <n v="100226"/>
    <d v="2026-02-01T00:00:00"/>
    <s v="IB-01"/>
    <s v="Ibadan"/>
    <s v="In-store"/>
    <x v="0"/>
    <s v="Electric Kettle"/>
    <s v="C1032"/>
    <s v="Returning"/>
    <n v="1"/>
    <n v="24000"/>
    <n v="0.05"/>
    <n v="22800"/>
    <n v="15000"/>
    <s v="No"/>
    <s v="Fatima"/>
    <n v="22800"/>
    <n v="0"/>
    <n v="15000"/>
    <n v="7800"/>
    <n v="6"/>
    <b v="0"/>
  </r>
  <r>
    <n v="100227"/>
    <d v="2026-04-02T00:00:00"/>
    <s v="PH-01"/>
    <s v="Port Harcourt"/>
    <s v="In-store"/>
    <x v="0"/>
    <s v="Standing Fan"/>
    <s v="C1137"/>
    <s v="Returning"/>
    <n v="2"/>
    <n v="58000"/>
    <n v="0"/>
    <n v="116000"/>
    <n v="39000"/>
    <s v="No"/>
    <s v="Aisha"/>
    <n v="116000"/>
    <n v="0"/>
    <n v="78000"/>
    <n v="38000"/>
    <n v="13"/>
    <b v="0"/>
  </r>
  <r>
    <n v="100228"/>
    <d v="2026-03-18T00:00:00"/>
    <s v="LG-01"/>
    <s v="Lagos"/>
    <s v="In-store"/>
    <x v="1"/>
    <s v="Earbuds"/>
    <s v="C1059"/>
    <s v="New"/>
    <n v="3"/>
    <n v="32000"/>
    <n v="0.15"/>
    <n v="81600"/>
    <n v="19000"/>
    <s v="No"/>
    <s v="Chinedu"/>
    <n v="81600"/>
    <n v="0"/>
    <n v="57000"/>
    <n v="24600"/>
    <n v="5"/>
    <b v="0"/>
  </r>
  <r>
    <n v="100229"/>
    <d v="2026-07-09T00:00:00"/>
    <s v="KN-01"/>
    <s v="Kano"/>
    <s v="Online"/>
    <x v="0"/>
    <s v="Standing Fan"/>
    <s v="C1126"/>
    <s v="Returning"/>
    <n v="1"/>
    <n v="58000"/>
    <n v="0.1"/>
    <n v="52200"/>
    <n v="39000"/>
    <s v="No"/>
    <s v="Chinedu"/>
    <n v="52200"/>
    <n v="0"/>
    <n v="39000"/>
    <n v="13200"/>
    <n v="4"/>
    <b v="0"/>
  </r>
  <r>
    <n v="100230"/>
    <d v="2026-04-29T00:00:00"/>
    <s v="KN-01"/>
    <s v="Kano"/>
    <s v="In-store"/>
    <x v="1"/>
    <s v="Power Bank"/>
    <s v="C1074"/>
    <s v="Returning"/>
    <n v="3"/>
    <n v="26000"/>
    <n v="0.15"/>
    <n v="66300"/>
    <n v="15000"/>
    <s v="No"/>
    <s v="Aisha"/>
    <n v="66300"/>
    <n v="0"/>
    <n v="45000"/>
    <n v="21300"/>
    <n v="4"/>
    <b v="0"/>
  </r>
  <r>
    <n v="100231"/>
    <d v="2026-03-28T00:00:00"/>
    <s v="AB-01"/>
    <s v="Abuja"/>
    <s v="WhatsApp"/>
    <x v="1"/>
    <s v="Smartphone"/>
    <s v="C1142"/>
    <s v="Returning"/>
    <n v="1"/>
    <n v="165000"/>
    <n v="0.2"/>
    <n v="132000"/>
    <n v="112000"/>
    <s v="No"/>
    <s v="Grace"/>
    <n v="132000"/>
    <n v="0"/>
    <n v="112000"/>
    <n v="20000"/>
    <n v="5"/>
    <b v="0"/>
  </r>
  <r>
    <n v="100232"/>
    <d v="2026-08-03T00:00:00"/>
    <s v="LG-01"/>
    <s v="Lagos"/>
    <s v="In-store"/>
    <x v="1"/>
    <s v="Smartphone"/>
    <s v="C1059"/>
    <s v="New"/>
    <n v="1"/>
    <n v="165000"/>
    <n v="0.1"/>
    <n v="148500"/>
    <n v="112000"/>
    <s v="Yes"/>
    <s v="David"/>
    <n v="148500"/>
    <n v="0"/>
    <n v="112000"/>
    <n v="36500"/>
    <n v="5"/>
    <b v="0"/>
  </r>
  <r>
    <n v="100233"/>
    <d v="2026-01-08T00:00:00"/>
    <s v="IB-01"/>
    <s v="Ibadan"/>
    <s v="In-store"/>
    <x v="2"/>
    <s v="Phone Case"/>
    <s v="C1097"/>
    <s v="Returning"/>
    <n v="3"/>
    <n v="9000"/>
    <n v="0.15"/>
    <n v="27540"/>
    <n v="3500"/>
    <s v="No"/>
    <s v="David"/>
    <n v="22950"/>
    <n v="4590"/>
    <n v="10500"/>
    <n v="12450"/>
    <n v="6"/>
    <b v="0"/>
  </r>
  <r>
    <n v="100234"/>
    <d v="2026-01-21T00:00:00"/>
    <s v="KN-01"/>
    <s v="Kano"/>
    <s v="Online"/>
    <x v="2"/>
    <s v="Phone Case"/>
    <s v="C1091"/>
    <s v="New"/>
    <n v="2"/>
    <n v="9000"/>
    <n v="0.1"/>
    <n v="16200"/>
    <n v="3500"/>
    <s v="No"/>
    <s v="Bola"/>
    <n v="16200"/>
    <n v="0"/>
    <n v="7000"/>
    <n v="9200"/>
    <n v="4"/>
    <b v="0"/>
  </r>
  <r>
    <n v="100235"/>
    <d v="2026-05-22T00:00:00"/>
    <s v="IB-01"/>
    <s v="Ibadan"/>
    <s v="WhatsApp"/>
    <x v="0"/>
    <s v="Electric Kettle"/>
    <s v="C1064"/>
    <s v="New"/>
    <n v="2"/>
    <n v="24000"/>
    <n v="0.1"/>
    <n v="38880"/>
    <n v="15000"/>
    <s v="No"/>
    <s v="Aisha"/>
    <n v="43200"/>
    <n v="-4320"/>
    <n v="30000"/>
    <n v="13200"/>
    <n v="6"/>
    <b v="0"/>
  </r>
  <r>
    <n v="100236"/>
    <d v="2026-03-10T00:00:00"/>
    <s v="KN-01"/>
    <s v="Kano"/>
    <s v="In-store"/>
    <x v="2"/>
    <s v="USB Cable"/>
    <s v="C1021"/>
    <s v="Returning"/>
    <n v="3"/>
    <n v="6500"/>
    <n v="0.1"/>
    <n v="17550"/>
    <n v="2200"/>
    <s v="No"/>
    <s v="Grace"/>
    <n v="17550"/>
    <n v="0"/>
    <n v="6600"/>
    <n v="10950"/>
    <n v="4"/>
    <b v="0"/>
  </r>
  <r>
    <n v="100237"/>
    <d v="2026-06-13T00:00:00"/>
    <s v="LG-01"/>
    <s v="Lagos"/>
    <s v="In-store"/>
    <x v="1"/>
    <s v="Power Bank"/>
    <s v="C1054"/>
    <s v="New"/>
    <n v="4"/>
    <n v="26000"/>
    <n v="0.1"/>
    <n v="93600"/>
    <n v="15000"/>
    <s v="No"/>
    <s v="Ibrahim"/>
    <n v="93600"/>
    <n v="0"/>
    <n v="60000"/>
    <n v="33600"/>
    <n v="5"/>
    <b v="0"/>
  </r>
  <r>
    <n v="100238"/>
    <d v="2026-01-11T00:00:00"/>
    <s v="PH-01"/>
    <s v="Port Harcourt"/>
    <s v="Online"/>
    <x v="0"/>
    <s v="Electric Kettle"/>
    <s v="C1025"/>
    <s v="New"/>
    <n v="2"/>
    <n v="24000"/>
    <n v="0"/>
    <n v="48000"/>
    <n v="15000"/>
    <s v="No"/>
    <s v="Bola"/>
    <n v="48000"/>
    <n v="0"/>
    <n v="30000"/>
    <n v="18000"/>
    <n v="13"/>
    <b v="0"/>
  </r>
  <r>
    <n v="100239"/>
    <d v="2026-06-14T00:00:00"/>
    <s v="PH-01"/>
    <s v="Port Harcourt"/>
    <s v="WhatsApp"/>
    <x v="1"/>
    <s v="Smartphone"/>
    <s v="C1101"/>
    <s v="Returning"/>
    <n v="1"/>
    <n v="165000"/>
    <n v="0.15"/>
    <n v="140250"/>
    <n v="112000"/>
    <s v="No"/>
    <s v="Chinedu"/>
    <n v="140250"/>
    <n v="0"/>
    <n v="112000"/>
    <n v="28250"/>
    <n v="13"/>
    <b v="0"/>
  </r>
  <r>
    <n v="100240"/>
    <d v="2026-01-16T00:00:00"/>
    <s v="LG-01"/>
    <s v="Lagos"/>
    <s v="Online"/>
    <x v="1"/>
    <s v="Power Bank"/>
    <s v="C1136"/>
    <s v="New"/>
    <n v="3"/>
    <n v="26000"/>
    <n v="0.15"/>
    <n v="66300"/>
    <n v="15000"/>
    <s v="No"/>
    <s v="Chinedu"/>
    <n v="66300"/>
    <n v="0"/>
    <n v="45000"/>
    <n v="21300"/>
    <n v="5"/>
    <b v="0"/>
  </r>
  <r>
    <n v="100241"/>
    <d v="2026-03-03T00:00:00"/>
    <s v="LG-02"/>
    <s v="Lagos"/>
    <s v="Online"/>
    <x v="2"/>
    <s v="USB Cable"/>
    <s v="C1023"/>
    <s v="Returning"/>
    <n v="4"/>
    <n v="6500"/>
    <n v="0.1"/>
    <n v="23400"/>
    <n v="2200"/>
    <s v="No"/>
    <s v="Grace"/>
    <n v="23400"/>
    <n v="0"/>
    <n v="8800"/>
    <n v="14600"/>
    <n v="5"/>
    <b v="0"/>
  </r>
  <r>
    <n v="100242"/>
    <d v="2026-03-09T00:00:00"/>
    <s v="KN-01"/>
    <s v="Kano"/>
    <s v="In-store"/>
    <x v="0"/>
    <s v="Electric Kettle"/>
    <s v="C1116"/>
    <s v="New"/>
    <n v="2"/>
    <n v="24000"/>
    <n v="0.1"/>
    <n v="43200"/>
    <n v="15000"/>
    <s v="Yes"/>
    <s v="Kemi"/>
    <n v="43200"/>
    <n v="0"/>
    <n v="30000"/>
    <n v="13200"/>
    <n v="4"/>
    <b v="0"/>
  </r>
  <r>
    <n v="100243"/>
    <d v="2026-07-16T00:00:00"/>
    <s v="LG-01"/>
    <s v="Lagos"/>
    <s v="Online"/>
    <x v="0"/>
    <s v="Electric Kettle"/>
    <s v="C1013"/>
    <s v="New"/>
    <n v="5"/>
    <n v="24000"/>
    <n v="0.1"/>
    <n v="108000"/>
    <n v="15000"/>
    <s v="No"/>
    <s v="Fatima"/>
    <n v="108000"/>
    <n v="0"/>
    <n v="75000"/>
    <n v="33000"/>
    <n v="5"/>
    <b v="0"/>
  </r>
  <r>
    <n v="100244"/>
    <d v="2026-01-29T00:00:00"/>
    <s v="KN-01"/>
    <s v="Kano"/>
    <s v="WhatsApp"/>
    <x v="1"/>
    <s v="Power Bank"/>
    <s v="C1140"/>
    <s v="Returning"/>
    <n v="3"/>
    <n v="26000"/>
    <n v="0.05"/>
    <n v="74100"/>
    <n v="15000"/>
    <s v="No"/>
    <s v="Kemi"/>
    <n v="74100"/>
    <n v="0"/>
    <n v="45000"/>
    <n v="29100"/>
    <n v="4"/>
    <b v="0"/>
  </r>
  <r>
    <n v="100245"/>
    <d v="2026-06-26T00:00:00"/>
    <s v="LG-02"/>
    <s v="Lagos"/>
    <s v="Online"/>
    <x v="2"/>
    <s v="Backpack"/>
    <s v="C1071"/>
    <s v="New"/>
    <n v="1"/>
    <n v="28000"/>
    <n v="0.15"/>
    <n v="23800"/>
    <n v="16000"/>
    <s v="No"/>
    <s v="Bola"/>
    <n v="23800"/>
    <n v="0"/>
    <n v="16000"/>
    <n v="7800"/>
    <n v="5"/>
    <b v="0"/>
  </r>
  <r>
    <n v="100246"/>
    <d v="2026-07-28T00:00:00"/>
    <s v="KN-01"/>
    <s v="Kano"/>
    <s v="In-store"/>
    <x v="1"/>
    <s v="Smartphone"/>
    <s v="C1045"/>
    <s v="New"/>
    <n v="1"/>
    <n v="165000"/>
    <n v="0.05"/>
    <n v="156750"/>
    <n v="112000"/>
    <s v="No"/>
    <s v="Chinedu"/>
    <n v="156750"/>
    <n v="0"/>
    <n v="112000"/>
    <n v="44750"/>
    <n v="4"/>
    <b v="0"/>
  </r>
  <r>
    <n v="100247"/>
    <d v="2026-08-03T00:00:00"/>
    <s v="AB-01"/>
    <s v="Abuja"/>
    <s v="In-store"/>
    <x v="0"/>
    <s v="Electric Kettle"/>
    <s v="C1063"/>
    <s v="Returning"/>
    <n v="2"/>
    <n v="24000"/>
    <n v="0.2"/>
    <n v="38400"/>
    <n v="15000"/>
    <s v="No"/>
    <s v="Grace"/>
    <n v="38400"/>
    <n v="0"/>
    <n v="30000"/>
    <n v="8400"/>
    <n v="5"/>
    <b v="0"/>
  </r>
  <r>
    <n v="100248"/>
    <d v="2026-07-22T00:00:00"/>
    <s v="LG-01"/>
    <s v="Lagos"/>
    <s v="In-store"/>
    <x v="2"/>
    <s v="USB Cable"/>
    <s v="C1049"/>
    <s v="Returning"/>
    <n v="1"/>
    <n v="6500"/>
    <n v="0.05"/>
    <n v="6175"/>
    <n v="2200"/>
    <s v="No"/>
    <s v="Ibrahim"/>
    <n v="6175"/>
    <n v="0"/>
    <n v="2200"/>
    <n v="3975"/>
    <n v="5"/>
    <b v="0"/>
  </r>
  <r>
    <n v="100249"/>
    <d v="2026-04-04T00:00:00"/>
    <s v="KN-01"/>
    <s v="Kano"/>
    <s v="Online"/>
    <x v="0"/>
    <s v="Blender"/>
    <s v="C1027"/>
    <s v="New"/>
    <n v="2"/>
    <n v="42000"/>
    <n v="0.1"/>
    <n v="75600"/>
    <n v="28000"/>
    <s v="No"/>
    <s v="Bola"/>
    <n v="75600"/>
    <n v="0"/>
    <n v="56000"/>
    <n v="19600"/>
    <n v="4"/>
    <b v="0"/>
  </r>
  <r>
    <n v="100250"/>
    <d v="2026-04-28T00:00:00"/>
    <s v="IB-01"/>
    <s v="Ibadan"/>
    <s v="In-store"/>
    <x v="1"/>
    <s v="Smartphone"/>
    <s v="C1025"/>
    <s v="New"/>
    <n v="4"/>
    <n v="165000"/>
    <n v="0"/>
    <n v="660000"/>
    <n v="112000"/>
    <s v="No"/>
    <s v="Bola"/>
    <n v="660000"/>
    <n v="0"/>
    <n v="448000"/>
    <n v="212000"/>
    <n v="6"/>
    <b v="0"/>
  </r>
  <r>
    <n v="100251"/>
    <d v="2026-07-23T00:00:00"/>
    <s v="LG-01"/>
    <s v="Lagos"/>
    <s v="In-store"/>
    <x v="0"/>
    <s v="Blender"/>
    <s v="C1147"/>
    <s v="Returning"/>
    <n v="2"/>
    <n v="42000"/>
    <n v="0"/>
    <n v="84000"/>
    <n v="28000"/>
    <s v="No"/>
    <s v="Bola"/>
    <n v="84000"/>
    <n v="0"/>
    <n v="56000"/>
    <n v="28000"/>
    <n v="5"/>
    <b v="0"/>
  </r>
  <r>
    <n v="100252"/>
    <d v="2026-07-11T00:00:00"/>
    <s v="KN-01"/>
    <s v="Kano"/>
    <s v="In-store"/>
    <x v="1"/>
    <s v="Power Bank"/>
    <s v="C1117"/>
    <s v="Returning"/>
    <n v="2"/>
    <n v="26000"/>
    <n v="0"/>
    <n v="52000"/>
    <n v="15000"/>
    <s v="No"/>
    <s v="David"/>
    <n v="52000"/>
    <n v="0"/>
    <n v="30000"/>
    <n v="22000"/>
    <n v="4"/>
    <b v="0"/>
  </r>
  <r>
    <n v="100253"/>
    <d v="2026-01-02T00:00:00"/>
    <s v="PH-01"/>
    <s v="Port Harcourt"/>
    <s v="WhatsApp"/>
    <x v="0"/>
    <s v="Standing Fan"/>
    <s v="C1021"/>
    <s v="Returning"/>
    <n v="2"/>
    <n v="58000"/>
    <n v="0.05"/>
    <n v="110200"/>
    <n v="39000"/>
    <s v="No"/>
    <s v="Ibrahim"/>
    <n v="110200"/>
    <n v="0"/>
    <n v="78000"/>
    <n v="32200"/>
    <n v="13"/>
    <b v="0"/>
  </r>
  <r>
    <n v="100254"/>
    <d v="2026-04-11T00:00:00"/>
    <s v="KN-01"/>
    <s v="Kano"/>
    <s v="Online"/>
    <x v="0"/>
    <s v="Standing Fan"/>
    <s v="C1193"/>
    <s v="Returning"/>
    <n v="2"/>
    <n v="58000"/>
    <n v="0.1"/>
    <n v="104400"/>
    <n v="39000"/>
    <s v="No"/>
    <s v="Grace"/>
    <n v="104400"/>
    <n v="0"/>
    <n v="78000"/>
    <n v="26400"/>
    <n v="4"/>
    <b v="0"/>
  </r>
  <r>
    <n v="100255"/>
    <d v="2026-05-05T00:00:00"/>
    <s v="LG-02"/>
    <s v="Lagos"/>
    <s v="Online"/>
    <x v="0"/>
    <s v="Electric Kettle"/>
    <s v="C1127"/>
    <s v="New"/>
    <n v="5"/>
    <n v="24000"/>
    <n v="0.15"/>
    <n v="102000"/>
    <n v="15000"/>
    <s v="Yes"/>
    <s v="Kemi"/>
    <n v="102000"/>
    <n v="0"/>
    <n v="75000"/>
    <n v="27000"/>
    <n v="5"/>
    <b v="0"/>
  </r>
  <r>
    <n v="100256"/>
    <d v="2026-07-23T00:00:00"/>
    <s v="KN-01"/>
    <s v="Kano"/>
    <s v="In-store"/>
    <x v="2"/>
    <s v="USB Cable"/>
    <s v="C1050"/>
    <s v="New"/>
    <n v="1"/>
    <n v="6500"/>
    <n v="0.05"/>
    <n v="6175"/>
    <n v="2200"/>
    <s v="No"/>
    <s v="Aisha"/>
    <n v="6175"/>
    <n v="0"/>
    <n v="2200"/>
    <n v="3975"/>
    <n v="4"/>
    <b v="0"/>
  </r>
  <r>
    <n v="100257"/>
    <d v="2026-03-04T00:00:00"/>
    <s v="LG-01"/>
    <s v="Lagos"/>
    <s v="Online"/>
    <x v="0"/>
    <s v="Standing Fan"/>
    <s v="C1149"/>
    <s v="Returning"/>
    <n v="1"/>
    <n v="58000"/>
    <n v="0.05"/>
    <n v="55100"/>
    <n v="39000"/>
    <s v="No"/>
    <s v="Bola"/>
    <n v="55100"/>
    <n v="0"/>
    <n v="39000"/>
    <n v="16100"/>
    <n v="5"/>
    <b v="0"/>
  </r>
  <r>
    <n v="100258"/>
    <d v="2026-07-01T00:00:00"/>
    <s v="PH-01"/>
    <s v="Port Harcourt"/>
    <s v="WhatsApp"/>
    <x v="0"/>
    <s v="Blender"/>
    <s v="C1155"/>
    <s v="New"/>
    <n v="4"/>
    <n v="42000"/>
    <n v="0.15"/>
    <n v="142800"/>
    <n v="28000"/>
    <s v="No"/>
    <s v="Aisha"/>
    <n v="142800"/>
    <n v="0"/>
    <n v="112000"/>
    <n v="30800"/>
    <n v="13"/>
    <b v="0"/>
  </r>
  <r>
    <n v="100259"/>
    <d v="2026-07-23T00:00:00"/>
    <s v="AB-01"/>
    <s v="Abuja"/>
    <s v="In-store"/>
    <x v="1"/>
    <s v="Smartphone"/>
    <s v="C1033"/>
    <s v="Returning"/>
    <n v="1"/>
    <n v="165000"/>
    <n v="0.25"/>
    <n v="136125"/>
    <n v="112000"/>
    <s v="Yes"/>
    <s v="Grace"/>
    <n v="123750"/>
    <n v="12375"/>
    <n v="112000"/>
    <n v="11750"/>
    <n v="5"/>
    <b v="0"/>
  </r>
  <r>
    <n v="100260"/>
    <d v="2026-04-14T00:00:00"/>
    <s v="PH-01"/>
    <s v="Port Harcourt"/>
    <s v="WhatsApp"/>
    <x v="1"/>
    <s v="Earbuds"/>
    <s v="C1190"/>
    <s v="Returning"/>
    <n v="2"/>
    <n v="32000"/>
    <n v="0.15"/>
    <n v="54400"/>
    <n v="19000"/>
    <s v="No"/>
    <s v="Ibrahim"/>
    <n v="54400"/>
    <n v="0"/>
    <n v="38000"/>
    <n v="16400"/>
    <n v="13"/>
    <b v="0"/>
  </r>
  <r>
    <n v="100261"/>
    <d v="2026-03-06T00:00:00"/>
    <s v="AB-02"/>
    <s v="Abuja"/>
    <s v="In-store"/>
    <x v="1"/>
    <s v="Power Bank"/>
    <s v="C1146"/>
    <s v="New"/>
    <n v="4"/>
    <n v="26000"/>
    <n v="0"/>
    <n v="104000"/>
    <n v="15000"/>
    <s v="No"/>
    <s v="Chinedu"/>
    <n v="104000"/>
    <n v="0"/>
    <n v="60000"/>
    <n v="44000"/>
    <n v="5"/>
    <b v="0"/>
  </r>
  <r>
    <n v="100262"/>
    <d v="2026-02-10T00:00:00"/>
    <s v="IB-01"/>
    <s v="Ibadan"/>
    <s v="Online"/>
    <x v="0"/>
    <s v="Electric Kettle"/>
    <s v="C1044"/>
    <s v="New"/>
    <n v="4"/>
    <n v="24000"/>
    <n v="0.05"/>
    <n v="91200"/>
    <n v="15000"/>
    <s v="No"/>
    <s v="Bola"/>
    <n v="91200"/>
    <n v="0"/>
    <n v="60000"/>
    <n v="31200"/>
    <n v="6"/>
    <b v="0"/>
  </r>
  <r>
    <n v="100263"/>
    <d v="2026-01-22T00:00:00"/>
    <s v="AB-02"/>
    <s v="Abuja"/>
    <s v="In-store"/>
    <x v="2"/>
    <s v="Phone Case"/>
    <s v="C1032"/>
    <s v="New"/>
    <n v="5"/>
    <n v="9000"/>
    <n v="0.25"/>
    <n v="33750"/>
    <n v="3500"/>
    <s v="No"/>
    <s v="David"/>
    <n v="33750"/>
    <n v="0"/>
    <n v="17500"/>
    <n v="16250"/>
    <n v="5"/>
    <b v="0"/>
  </r>
  <r>
    <n v="100264"/>
    <d v="2026-04-05T00:00:00"/>
    <s v="KN-01"/>
    <s v="Kano"/>
    <s v="In-store"/>
    <x v="0"/>
    <s v="Blender"/>
    <s v="C1058"/>
    <s v="Returning"/>
    <n v="1"/>
    <n v="42000"/>
    <n v="0.05"/>
    <n v="39900"/>
    <n v="28000"/>
    <s v="No"/>
    <s v="David"/>
    <n v="39900"/>
    <n v="0"/>
    <n v="28000"/>
    <n v="11900"/>
    <n v="4"/>
    <b v="0"/>
  </r>
  <r>
    <n v="100265"/>
    <d v="2026-01-31T00:00:00"/>
    <s v="PH-01"/>
    <s v="Port Harcourt"/>
    <s v="In-store"/>
    <x v="1"/>
    <s v="Earbuds"/>
    <s v="C1087"/>
    <s v="Returning"/>
    <n v="2"/>
    <n v="32000"/>
    <n v="0"/>
    <n v="64000"/>
    <n v="19000"/>
    <s v="No"/>
    <s v="Chinedu"/>
    <n v="64000"/>
    <n v="0"/>
    <n v="38000"/>
    <n v="26000"/>
    <n v="13"/>
    <b v="0"/>
  </r>
  <r>
    <n v="100266"/>
    <d v="2026-06-15T00:00:00"/>
    <s v="KN-01"/>
    <s v="Kano"/>
    <s v="WhatsApp"/>
    <x v="0"/>
    <s v="Electric Kettle"/>
    <s v="C1055"/>
    <s v="New"/>
    <n v="4"/>
    <n v="24000"/>
    <n v="0"/>
    <n v="96000"/>
    <n v="15000"/>
    <s v="No"/>
    <s v="Ibrahim"/>
    <n v="96000"/>
    <n v="0"/>
    <n v="60000"/>
    <n v="36000"/>
    <n v="4"/>
    <b v="0"/>
  </r>
  <r>
    <n v="100267"/>
    <d v="2026-05-01T00:00:00"/>
    <s v="PH-01"/>
    <s v="Port Harcourt"/>
    <s v="In-store"/>
    <x v="1"/>
    <s v="Power Bank"/>
    <s v="C1013"/>
    <s v="Returning"/>
    <n v="1"/>
    <n v="26000"/>
    <n v="0.05"/>
    <n v="24700"/>
    <n v="15000"/>
    <s v="No"/>
    <s v="Fatima"/>
    <n v="24700"/>
    <n v="0"/>
    <n v="15000"/>
    <n v="9700"/>
    <n v="13"/>
    <b v="0"/>
  </r>
  <r>
    <n v="100268"/>
    <d v="2026-03-01T00:00:00"/>
    <s v="LG-02"/>
    <s v="Lagos"/>
    <s v="Online"/>
    <x v="0"/>
    <s v="Standing Fan"/>
    <s v="C1078"/>
    <s v="Returning"/>
    <n v="2"/>
    <n v="58000"/>
    <n v="0"/>
    <n v="116000"/>
    <n v="39000"/>
    <s v="No"/>
    <s v="Ibrahim"/>
    <n v="116000"/>
    <n v="0"/>
    <n v="78000"/>
    <n v="38000"/>
    <n v="5"/>
    <b v="0"/>
  </r>
  <r>
    <n v="100269"/>
    <d v="2026-04-07T00:00:00"/>
    <s v="AB-01"/>
    <s v="Abuja"/>
    <s v="WhatsApp"/>
    <x v="1"/>
    <s v="Power Bank"/>
    <s v="C1194"/>
    <s v="Returning"/>
    <n v="5"/>
    <n v="26000"/>
    <n v="0.15"/>
    <n v="110500"/>
    <n v="15000"/>
    <s v="No"/>
    <s v="Kemi"/>
    <n v="110500"/>
    <n v="0"/>
    <n v="75000"/>
    <n v="35500"/>
    <n v="5"/>
    <b v="0"/>
  </r>
  <r>
    <n v="100270"/>
    <d v="2026-06-16T00:00:00"/>
    <s v="PH-01"/>
    <s v="Port Harcourt"/>
    <s v="Online"/>
    <x v="2"/>
    <s v="Backpack"/>
    <s v="C1182"/>
    <s v="Returning"/>
    <n v="4"/>
    <n v="28000"/>
    <n v="0"/>
    <n v="112000"/>
    <n v="16000"/>
    <s v="No"/>
    <s v="Grace"/>
    <n v="112000"/>
    <n v="0"/>
    <n v="64000"/>
    <n v="48000"/>
    <n v="13"/>
    <b v="0"/>
  </r>
  <r>
    <n v="100271"/>
    <d v="2026-04-25T00:00:00"/>
    <s v="IB-01"/>
    <s v="Ibadan"/>
    <s v="Online"/>
    <x v="1"/>
    <s v="Smartphone"/>
    <s v="C1149"/>
    <s v="New"/>
    <n v="1"/>
    <n v="165000"/>
    <n v="0"/>
    <n v="165000"/>
    <n v="112000"/>
    <s v="No"/>
    <s v="Chinedu"/>
    <n v="165000"/>
    <n v="0"/>
    <n v="112000"/>
    <n v="53000"/>
    <n v="6"/>
    <b v="0"/>
  </r>
  <r>
    <n v="100272"/>
    <d v="2026-03-19T00:00:00"/>
    <s v="LG-02"/>
    <s v="Lagos"/>
    <s v="In-store"/>
    <x v="0"/>
    <s v="Blender"/>
    <s v="C1078"/>
    <s v="Returning"/>
    <n v="1"/>
    <n v="42000"/>
    <n v="0"/>
    <n v="42000"/>
    <n v="28000"/>
    <s v="No"/>
    <s v="Fatima"/>
    <n v="42000"/>
    <n v="0"/>
    <n v="28000"/>
    <n v="14000"/>
    <n v="5"/>
    <b v="0"/>
  </r>
  <r>
    <n v="100273"/>
    <d v="2026-01-15T00:00:00"/>
    <s v="IB-01"/>
    <s v="Ibadan"/>
    <s v="Online"/>
    <x v="1"/>
    <s v="Smartphone"/>
    <s v="C1053"/>
    <s v="New"/>
    <n v="2"/>
    <n v="165000"/>
    <n v="0.05"/>
    <n v="313500"/>
    <n v="112000"/>
    <s v="No"/>
    <s v="Bola"/>
    <n v="313500"/>
    <n v="0"/>
    <n v="224000"/>
    <n v="89500"/>
    <n v="6"/>
    <b v="0"/>
  </r>
  <r>
    <n v="100274"/>
    <d v="2026-08-26T00:00:00"/>
    <s v="PH-01"/>
    <s v="Port Harcourt"/>
    <s v="Online"/>
    <x v="2"/>
    <s v="Backpack"/>
    <s v="C1091"/>
    <s v="Returning"/>
    <n v="3"/>
    <n v="28000"/>
    <n v="0"/>
    <n v="84000"/>
    <n v="16000"/>
    <s v="No"/>
    <s v="Fatima"/>
    <n v="84000"/>
    <n v="0"/>
    <n v="48000"/>
    <n v="36000"/>
    <n v="13"/>
    <b v="0"/>
  </r>
  <r>
    <n v="100275"/>
    <d v="2026-05-14T00:00:00"/>
    <s v="LG-01"/>
    <s v="Lagos"/>
    <s v="Online"/>
    <x v="1"/>
    <s v="Power Bank"/>
    <s v="C1135"/>
    <s v="New"/>
    <n v="22"/>
    <n v="26000"/>
    <n v="0.05"/>
    <n v="543400"/>
    <n v="15000"/>
    <s v="No"/>
    <s v="David"/>
    <n v="543400"/>
    <n v="0"/>
    <n v="330000"/>
    <n v="213400"/>
    <n v="5"/>
    <b v="0"/>
  </r>
  <r>
    <n v="100276"/>
    <d v="2026-06-22T00:00:00"/>
    <s v="LG-02"/>
    <s v="Lagos"/>
    <s v="Online"/>
    <x v="0"/>
    <s v="Electric Kettle"/>
    <s v="C1016"/>
    <s v="New"/>
    <n v="2"/>
    <n v="24000"/>
    <n v="0.1"/>
    <n v="43200"/>
    <n v="15000"/>
    <s v="No"/>
    <s v="David"/>
    <n v="43200"/>
    <n v="0"/>
    <n v="30000"/>
    <n v="13200"/>
    <n v="5"/>
    <b v="0"/>
  </r>
  <r>
    <n v="100277"/>
    <d v="2026-07-28T00:00:00"/>
    <s v="LG-01"/>
    <s v="Lagos"/>
    <s v="In-store"/>
    <x v="1"/>
    <s v="Power Bank"/>
    <s v="C1038"/>
    <s v="New"/>
    <n v="22"/>
    <n v="26000"/>
    <n v="0"/>
    <n v="572000"/>
    <n v="15000"/>
    <s v="No"/>
    <s v="Grace"/>
    <n v="572000"/>
    <n v="0"/>
    <n v="330000"/>
    <n v="242000"/>
    <n v="5"/>
    <b v="0"/>
  </r>
  <r>
    <n v="100278"/>
    <d v="2026-06-27T00:00:00"/>
    <s v="LG-01"/>
    <s v="Lagos"/>
    <s v="In-store"/>
    <x v="1"/>
    <s v="Power Bank"/>
    <s v="C1144"/>
    <s v="New"/>
    <n v="3"/>
    <n v="26000"/>
    <n v="0.1"/>
    <n v="56160"/>
    <n v="15000"/>
    <s v="No"/>
    <s v="Fatima"/>
    <n v="70200"/>
    <n v="-14040"/>
    <n v="45000"/>
    <n v="25200"/>
    <n v="5"/>
    <b v="0"/>
  </r>
  <r>
    <n v="100279"/>
    <d v="2026-02-21T00:00:00"/>
    <s v="AB-02"/>
    <s v="Abuja"/>
    <s v="Online"/>
    <x v="2"/>
    <s v="USB Cable"/>
    <s v="C1082"/>
    <s v="Returning"/>
    <n v="4"/>
    <n v="6500"/>
    <n v="0.15"/>
    <n v="22100"/>
    <n v="2200"/>
    <s v="No"/>
    <s v="Ibrahim"/>
    <n v="22100"/>
    <n v="0"/>
    <n v="8800"/>
    <n v="13300"/>
    <n v="5"/>
    <b v="0"/>
  </r>
  <r>
    <n v="100280"/>
    <d v="2026-06-16T00:00:00"/>
    <s v="LG-01"/>
    <s v="Lagos"/>
    <s v="WhatsApp"/>
    <x v="1"/>
    <s v="Earbuds"/>
    <s v="C1041"/>
    <s v="Returning"/>
    <n v="1"/>
    <n v="32000"/>
    <n v="0.05"/>
    <n v="30400"/>
    <n v="19000"/>
    <s v="No"/>
    <s v="Grace"/>
    <n v="30400"/>
    <n v="0"/>
    <n v="19000"/>
    <n v="11400"/>
    <n v="5"/>
    <b v="0"/>
  </r>
  <r>
    <n v="100281"/>
    <d v="2026-05-15T00:00:00"/>
    <s v="LG-01"/>
    <s v="Lagos"/>
    <s v="WhatsApp"/>
    <x v="1"/>
    <s v="Power Bank"/>
    <s v="C1035"/>
    <s v="New"/>
    <n v="1"/>
    <n v="26000"/>
    <n v="0.15"/>
    <n v="22100"/>
    <n v="15000"/>
    <s v="No"/>
    <s v="Bola"/>
    <n v="22100"/>
    <n v="0"/>
    <n v="15000"/>
    <n v="7100"/>
    <n v="5"/>
    <b v="0"/>
  </r>
  <r>
    <n v="100282"/>
    <d v="2026-05-07T00:00:00"/>
    <s v="LG-01"/>
    <s v="Lagos"/>
    <s v="In-store"/>
    <x v="1"/>
    <s v="Power Bank"/>
    <s v="C1159"/>
    <s v="Returning"/>
    <n v="2"/>
    <n v="26000"/>
    <n v="0.05"/>
    <n v="49400"/>
    <n v="15000"/>
    <s v="No"/>
    <s v="Kemi"/>
    <n v="49400"/>
    <n v="0"/>
    <n v="30000"/>
    <n v="19400"/>
    <n v="5"/>
    <b v="0"/>
  </r>
  <r>
    <n v="100283"/>
    <d v="2026-08-26T00:00:00"/>
    <s v="LG-01"/>
    <s v="Lagos"/>
    <s v="In-store"/>
    <x v="0"/>
    <s v="Standing Fan"/>
    <s v="C1108"/>
    <s v="Returning"/>
    <n v="1"/>
    <n v="58000"/>
    <n v="0.05"/>
    <n v="55100"/>
    <n v="39000"/>
    <s v="No"/>
    <s v="Bola"/>
    <n v="55100"/>
    <n v="0"/>
    <n v="39000"/>
    <n v="16100"/>
    <n v="5"/>
    <b v="0"/>
  </r>
  <r>
    <n v="100284"/>
    <d v="2026-08-11T00:00:00"/>
    <s v="AB-02"/>
    <s v="Abuja"/>
    <s v="In-store"/>
    <x v="0"/>
    <s v="Electric Kettle"/>
    <s v="C1115"/>
    <s v="New"/>
    <n v="4"/>
    <n v="24000"/>
    <n v="0.1"/>
    <n v="95040"/>
    <n v="15000"/>
    <s v="No"/>
    <s v="Fatima"/>
    <n v="86400"/>
    <n v="8640"/>
    <n v="60000"/>
    <n v="26400"/>
    <n v="5"/>
    <b v="0"/>
  </r>
  <r>
    <n v="100285"/>
    <d v="2026-07-18T00:00:00"/>
    <s v="KN-01"/>
    <s v="Kano"/>
    <s v="Online"/>
    <x v="0"/>
    <s v="Electric Kettle"/>
    <s v="C1172"/>
    <s v="Returning"/>
    <n v="1"/>
    <n v="24000"/>
    <n v="0.05"/>
    <n v="22800"/>
    <n v="15000"/>
    <s v="No"/>
    <s v="David"/>
    <n v="22800"/>
    <n v="0"/>
    <n v="15000"/>
    <n v="7800"/>
    <n v="4"/>
    <b v="0"/>
  </r>
  <r>
    <n v="100286"/>
    <d v="2026-03-16T00:00:00"/>
    <s v="KN-01"/>
    <s v="Kano"/>
    <s v="Online"/>
    <x v="2"/>
    <s v="Phone Case"/>
    <s v="C1130"/>
    <s v="Returning"/>
    <n v="1"/>
    <n v="9000"/>
    <n v="0.1"/>
    <n v="8100"/>
    <n v="3500"/>
    <s v="No"/>
    <s v="Aisha"/>
    <n v="8100"/>
    <n v="0"/>
    <n v="3500"/>
    <n v="4600"/>
    <n v="4"/>
    <b v="0"/>
  </r>
  <r>
    <n v="100287"/>
    <d v="2026-02-25T00:00:00"/>
    <s v="PH-01"/>
    <s v="Port Harcourt"/>
    <s v="Online"/>
    <x v="1"/>
    <s v="Earbuds"/>
    <s v="C1114"/>
    <s v="New"/>
    <n v="3"/>
    <n v="32000"/>
    <n v="0.05"/>
    <n v="91200"/>
    <n v="19000"/>
    <s v="No"/>
    <s v="Grace"/>
    <n v="91200"/>
    <n v="0"/>
    <n v="57000"/>
    <n v="34200"/>
    <n v="13"/>
    <b v="0"/>
  </r>
  <r>
    <n v="100288"/>
    <d v="2026-06-04T00:00:00"/>
    <s v="IB-01"/>
    <s v="Ibadan"/>
    <s v="In-store"/>
    <x v="1"/>
    <s v="Power Bank"/>
    <s v="C1062"/>
    <s v="Returning"/>
    <n v="1"/>
    <n v="26000"/>
    <n v="0.05"/>
    <n v="24700"/>
    <n v="15000"/>
    <s v="No"/>
    <s v="Chinedu"/>
    <n v="24700"/>
    <n v="0"/>
    <n v="15000"/>
    <n v="9700"/>
    <n v="6"/>
    <b v="0"/>
  </r>
  <r>
    <n v="100289"/>
    <d v="2026-07-21T00:00:00"/>
    <s v="LG-01"/>
    <s v="Lagos"/>
    <s v="In-store"/>
    <x v="1"/>
    <s v="Earbuds"/>
    <s v="C1057"/>
    <s v="New"/>
    <n v="3"/>
    <n v="32000"/>
    <n v="0.1"/>
    <n v="86400"/>
    <n v="19000"/>
    <s v="No"/>
    <s v="David"/>
    <n v="86400"/>
    <n v="0"/>
    <n v="57000"/>
    <n v="29400"/>
    <n v="5"/>
    <b v="0"/>
  </r>
  <r>
    <n v="100290"/>
    <d v="2026-04-04T00:00:00"/>
    <s v="LG-01"/>
    <s v="Lagos"/>
    <s v="In-store"/>
    <x v="1"/>
    <s v="Earbuds"/>
    <s v="C1083"/>
    <s v="Returning"/>
    <n v="5"/>
    <n v="32000"/>
    <n v="0.15"/>
    <n v="136000"/>
    <n v="19000"/>
    <s v="No"/>
    <s v="Ibrahim"/>
    <n v="136000"/>
    <n v="0"/>
    <n v="95000"/>
    <n v="41000"/>
    <n v="5"/>
    <b v="0"/>
  </r>
  <r>
    <n v="100291"/>
    <d v="2026-03-29T00:00:00"/>
    <s v="IB-01"/>
    <s v="Ibadan"/>
    <s v="In-store"/>
    <x v="1"/>
    <s v="Earbuds"/>
    <s v="C1073"/>
    <s v="Returning"/>
    <n v="1"/>
    <n v="32000"/>
    <n v="0.1"/>
    <n v="28800"/>
    <n v="19000"/>
    <s v="No"/>
    <s v="Fatima"/>
    <n v="28800"/>
    <n v="0"/>
    <n v="19000"/>
    <n v="9800"/>
    <n v="6"/>
    <b v="0"/>
  </r>
  <r>
    <n v="100292"/>
    <d v="2026-04-18T00:00:00"/>
    <s v="LG-02"/>
    <s v="Lagos"/>
    <s v="WhatsApp"/>
    <x v="1"/>
    <s v="Smartphone"/>
    <s v="C1138"/>
    <s v="Returning"/>
    <n v="1"/>
    <n v="165000"/>
    <n v="0.15"/>
    <n v="140250"/>
    <n v="112000"/>
    <s v="No"/>
    <s v="Ibrahim"/>
    <n v="140250"/>
    <n v="0"/>
    <n v="112000"/>
    <n v="28250"/>
    <n v="5"/>
    <b v="0"/>
  </r>
  <r>
    <n v="100293"/>
    <d v="2026-04-10T00:00:00"/>
    <s v="PH-01"/>
    <s v="Port Harcourt"/>
    <s v="WhatsApp"/>
    <x v="2"/>
    <s v="Backpack"/>
    <s v="C1150"/>
    <s v="New"/>
    <n v="2"/>
    <n v="28000"/>
    <n v="0"/>
    <n v="56000"/>
    <n v="16000"/>
    <s v="No"/>
    <s v="Bola"/>
    <n v="56000"/>
    <n v="0"/>
    <n v="32000"/>
    <n v="24000"/>
    <n v="13"/>
    <b v="0"/>
  </r>
  <r>
    <n v="100294"/>
    <d v="2026-07-20T00:00:00"/>
    <s v="IB-01"/>
    <s v="Ibadan"/>
    <s v="In-store"/>
    <x v="1"/>
    <s v="Power Bank"/>
    <s v="C1041"/>
    <s v="New"/>
    <n v="3"/>
    <n v="26000"/>
    <n v="0.1"/>
    <n v="63180"/>
    <n v="15000"/>
    <s v="No"/>
    <s v="Fatima"/>
    <n v="70200"/>
    <n v="-7020"/>
    <n v="45000"/>
    <n v="25200"/>
    <n v="6"/>
    <b v="0"/>
  </r>
  <r>
    <n v="100295"/>
    <d v="2026-02-13T00:00:00"/>
    <s v="IB-01"/>
    <s v="Ibadan"/>
    <s v="WhatsApp"/>
    <x v="1"/>
    <s v="Earbuds"/>
    <s v="C1010"/>
    <s v="New"/>
    <n v="1"/>
    <n v="32000"/>
    <n v="0.15"/>
    <n v="27200"/>
    <n v="19000"/>
    <s v="Yes"/>
    <s v="Kemi"/>
    <n v="27200"/>
    <n v="0"/>
    <n v="19000"/>
    <n v="8200"/>
    <n v="6"/>
    <b v="0"/>
  </r>
  <r>
    <n v="100296"/>
    <d v="2026-04-26T00:00:00"/>
    <s v="IB-01"/>
    <s v="Ibadan"/>
    <s v="WhatsApp"/>
    <x v="1"/>
    <s v="Earbuds"/>
    <s v="C1170"/>
    <s v="New"/>
    <n v="2"/>
    <n v="32000"/>
    <n v="0.05"/>
    <n v="72960"/>
    <n v="19000"/>
    <s v="Yes"/>
    <s v="Bola"/>
    <n v="60800"/>
    <n v="12160"/>
    <n v="38000"/>
    <n v="22800"/>
    <n v="6"/>
    <b v="0"/>
  </r>
  <r>
    <n v="100297"/>
    <d v="2026-01-16T00:00:00"/>
    <s v="IB-01"/>
    <s v="Ibadan"/>
    <s v="Online"/>
    <x v="0"/>
    <s v="Standing Fan"/>
    <s v="C1082"/>
    <s v="New"/>
    <n v="1"/>
    <n v="58000"/>
    <n v="0"/>
    <n v="58000"/>
    <n v="39000"/>
    <s v="No"/>
    <s v="Chinedu"/>
    <n v="58000"/>
    <n v="0"/>
    <n v="39000"/>
    <n v="19000"/>
    <n v="6"/>
    <b v="0"/>
  </r>
  <r>
    <n v="100298"/>
    <d v="2026-02-01T00:00:00"/>
    <s v="LG-02"/>
    <s v="Lagos"/>
    <s v="Online"/>
    <x v="1"/>
    <s v="Power Bank"/>
    <s v="C1162"/>
    <s v="Returning"/>
    <n v="4"/>
    <n v="26000"/>
    <n v="0.1"/>
    <n v="93600"/>
    <n v="15000"/>
    <s v="No"/>
    <s v="Fatima"/>
    <n v="93600"/>
    <n v="0"/>
    <n v="60000"/>
    <n v="33600"/>
    <n v="5"/>
    <b v="0"/>
  </r>
  <r>
    <n v="100299"/>
    <d v="2026-07-06T00:00:00"/>
    <s v="LG-01"/>
    <s v="Lagos"/>
    <s v="In-store"/>
    <x v="2"/>
    <s v="Backpack"/>
    <s v="C1110"/>
    <s v="Returning"/>
    <n v="2"/>
    <n v="28000"/>
    <n v="0.1"/>
    <n v="50400"/>
    <n v="16000"/>
    <s v="No"/>
    <s v="Kemi"/>
    <n v="50400"/>
    <n v="0"/>
    <n v="32000"/>
    <n v="18400"/>
    <n v="5"/>
    <b v="0"/>
  </r>
  <r>
    <n v="100300"/>
    <d v="2026-01-06T00:00:00"/>
    <s v="PH-01"/>
    <s v="Port Harcourt"/>
    <s v="WhatsApp"/>
    <x v="2"/>
    <s v="USB Cable"/>
    <s v="C1033"/>
    <s v="New"/>
    <n v="4"/>
    <n v="6500"/>
    <n v="0.1"/>
    <n v="23400"/>
    <n v="2200"/>
    <s v="No"/>
    <s v="Kemi"/>
    <n v="23400"/>
    <n v="0"/>
    <n v="8800"/>
    <n v="14600"/>
    <n v="13"/>
    <b v="0"/>
  </r>
  <r>
    <n v="100301"/>
    <d v="2026-03-06T00:00:00"/>
    <s v="LG-02"/>
    <s v="Lagos"/>
    <s v="In-store"/>
    <x v="1"/>
    <s v="Power Bank"/>
    <s v="C1169"/>
    <s v="Returning"/>
    <n v="5"/>
    <n v="26000"/>
    <n v="0.05"/>
    <n v="98800"/>
    <n v="15000"/>
    <s v="Yes"/>
    <s v="Aisha"/>
    <n v="123500"/>
    <n v="-24700"/>
    <n v="75000"/>
    <n v="48500"/>
    <n v="5"/>
    <b v="0"/>
  </r>
  <r>
    <n v="100302"/>
    <d v="2026-02-28T00:00:00"/>
    <s v="LG-02"/>
    <s v="Lagos"/>
    <s v="In-store"/>
    <x v="2"/>
    <s v="Backpack"/>
    <s v="C1179"/>
    <s v="Returning"/>
    <n v="4"/>
    <n v="28000"/>
    <n v="0"/>
    <n v="112000"/>
    <n v="16000"/>
    <s v="No"/>
    <s v="Bola"/>
    <n v="112000"/>
    <n v="0"/>
    <n v="64000"/>
    <n v="48000"/>
    <n v="5"/>
    <b v="0"/>
  </r>
  <r>
    <n v="100303"/>
    <d v="2026-02-16T00:00:00"/>
    <s v="IB-01"/>
    <s v="Ibadan"/>
    <s v="In-store"/>
    <x v="2"/>
    <s v="Phone Case"/>
    <s v="C1032"/>
    <s v="Returning"/>
    <n v="2"/>
    <n v="9000"/>
    <n v="0.1"/>
    <n v="16200"/>
    <n v="3500"/>
    <s v="No"/>
    <s v="Ibrahim"/>
    <n v="16200"/>
    <n v="0"/>
    <n v="7000"/>
    <n v="9200"/>
    <n v="6"/>
    <b v="0"/>
  </r>
  <r>
    <n v="100304"/>
    <d v="2026-07-01T00:00:00"/>
    <s v="KN-01"/>
    <s v="Kano"/>
    <s v="WhatsApp"/>
    <x v="0"/>
    <s v="Standing Fan"/>
    <s v="C1090"/>
    <s v="New"/>
    <n v="5"/>
    <n v="58000"/>
    <n v="0.1"/>
    <n v="261000"/>
    <n v="39000"/>
    <s v="No"/>
    <s v="Bola"/>
    <n v="261000"/>
    <n v="0"/>
    <n v="195000"/>
    <n v="66000"/>
    <n v="4"/>
    <b v="0"/>
  </r>
  <r>
    <n v="100305"/>
    <d v="2026-01-10T00:00:00"/>
    <s v="LG-01"/>
    <s v="Lagos"/>
    <s v="Online"/>
    <x v="1"/>
    <s v="Earbuds"/>
    <s v="C1105"/>
    <s v="Returning"/>
    <n v="2"/>
    <n v="32000"/>
    <n v="0.05"/>
    <n v="60800"/>
    <n v="19000"/>
    <s v="No"/>
    <s v="Grace"/>
    <n v="60800"/>
    <n v="0"/>
    <n v="38000"/>
    <n v="22800"/>
    <n v="5"/>
    <b v="0"/>
  </r>
  <r>
    <n v="100306"/>
    <d v="2026-03-14T00:00:00"/>
    <s v="PH-01"/>
    <s v="Port Harcourt"/>
    <s v="In-store"/>
    <x v="2"/>
    <s v="Phone Case"/>
    <s v="C1162"/>
    <s v="New"/>
    <n v="1"/>
    <n v="9000"/>
    <n v="0.15"/>
    <n v="7650"/>
    <n v="3500"/>
    <s v="No"/>
    <s v="Aisha"/>
    <n v="7650"/>
    <n v="0"/>
    <n v="3500"/>
    <n v="4150"/>
    <n v="13"/>
    <b v="0"/>
  </r>
  <r>
    <n v="100307"/>
    <d v="2026-06-28T00:00:00"/>
    <s v="IB-01"/>
    <s v="Ibadan"/>
    <s v="Online"/>
    <x v="1"/>
    <s v="Power Bank"/>
    <s v="C1099"/>
    <s v="New"/>
    <n v="3"/>
    <n v="26000"/>
    <n v="0"/>
    <n v="78000"/>
    <n v="15000"/>
    <s v="No"/>
    <s v="Ibrahim"/>
    <n v="78000"/>
    <n v="0"/>
    <n v="45000"/>
    <n v="33000"/>
    <n v="6"/>
    <b v="0"/>
  </r>
  <r>
    <n v="100308"/>
    <d v="2026-08-04T00:00:00"/>
    <s v="LG-02"/>
    <s v="Lagos"/>
    <s v="Online"/>
    <x v="0"/>
    <s v="Blender"/>
    <s v="C1088"/>
    <s v="Returning"/>
    <n v="1"/>
    <n v="42000"/>
    <n v="0.05"/>
    <n v="39900"/>
    <n v="28000"/>
    <s v="No"/>
    <s v="Aisha"/>
    <n v="39900"/>
    <n v="0"/>
    <n v="28000"/>
    <n v="11900"/>
    <n v="5"/>
    <b v="0"/>
  </r>
  <r>
    <n v="100309"/>
    <d v="2026-05-12T00:00:00"/>
    <s v="LG-02"/>
    <s v="Lagos"/>
    <s v="In-store"/>
    <x v="2"/>
    <s v="USB Cable"/>
    <s v="C1093"/>
    <s v="New"/>
    <n v="3"/>
    <n v="6500"/>
    <n v="0.15"/>
    <n v="16575"/>
    <n v="2200"/>
    <s v="No"/>
    <s v="Ibrahim"/>
    <n v="16575"/>
    <n v="0"/>
    <n v="6600"/>
    <n v="9975"/>
    <n v="5"/>
    <b v="0"/>
  </r>
  <r>
    <n v="100310"/>
    <d v="2026-03-04T00:00:00"/>
    <s v="LG-01"/>
    <s v="Lagos"/>
    <s v="Online"/>
    <x v="1"/>
    <s v="Earbuds"/>
    <s v="C1022"/>
    <s v="New"/>
    <n v="4"/>
    <n v="32000"/>
    <n v="0.1"/>
    <n v="115200"/>
    <n v="19000"/>
    <s v="No"/>
    <s v="Ibrahim"/>
    <n v="115200"/>
    <n v="0"/>
    <n v="76000"/>
    <n v="39200"/>
    <n v="5"/>
    <b v="0"/>
  </r>
  <r>
    <n v="100311"/>
    <d v="2026-06-02T00:00:00"/>
    <s v="AB-01"/>
    <s v="Abuja"/>
    <s v="Online"/>
    <x v="2"/>
    <s v="USB Cable"/>
    <s v="C1143"/>
    <s v="Returning"/>
    <n v="1"/>
    <n v="6500"/>
    <n v="0.05"/>
    <n v="6175"/>
    <n v="2200"/>
    <s v="No"/>
    <s v="Aisha"/>
    <n v="6175"/>
    <n v="0"/>
    <n v="2200"/>
    <n v="3975"/>
    <n v="5"/>
    <b v="0"/>
  </r>
  <r>
    <n v="100312"/>
    <d v="2026-02-27T00:00:00"/>
    <s v="LG-02"/>
    <s v="Lagos"/>
    <s v="In-store"/>
    <x v="1"/>
    <s v="Earbuds"/>
    <s v="C1007"/>
    <s v="New"/>
    <n v="3"/>
    <n v="32000"/>
    <n v="0.15"/>
    <n v="81600"/>
    <n v="19000"/>
    <s v="No"/>
    <s v="Kemi"/>
    <n v="81600"/>
    <n v="0"/>
    <n v="57000"/>
    <n v="24600"/>
    <n v="5"/>
    <b v="0"/>
  </r>
  <r>
    <n v="100313"/>
    <d v="2026-08-07T00:00:00"/>
    <s v="LG-01"/>
    <s v="Lagos"/>
    <s v="In-store"/>
    <x v="2"/>
    <s v="USB Cable"/>
    <s v="C1078"/>
    <s v="Returning"/>
    <n v="1"/>
    <n v="6500"/>
    <n v="0.05"/>
    <n v="6175"/>
    <n v="2200"/>
    <s v="No"/>
    <s v="David"/>
    <n v="6175"/>
    <n v="0"/>
    <n v="2200"/>
    <n v="3975"/>
    <n v="5"/>
    <b v="0"/>
  </r>
  <r>
    <n v="100314"/>
    <d v="2026-03-25T00:00:00"/>
    <s v="LG-02"/>
    <s v="Lagos"/>
    <s v="In-store"/>
    <x v="1"/>
    <s v="Smartphone"/>
    <s v="C1167"/>
    <s v="Returning"/>
    <n v="1"/>
    <n v="165000"/>
    <n v="0.1"/>
    <n v="148500"/>
    <n v="112000"/>
    <s v="No"/>
    <s v="Grace"/>
    <n v="148500"/>
    <n v="0"/>
    <n v="112000"/>
    <n v="36500"/>
    <n v="5"/>
    <b v="0"/>
  </r>
  <r>
    <n v="100315"/>
    <d v="2026-04-06T00:00:00"/>
    <s v="LG-02"/>
    <s v="Lagos"/>
    <s v="WhatsApp"/>
    <x v="1"/>
    <s v="Power Bank"/>
    <s v="C1178"/>
    <s v="Returning"/>
    <n v="1"/>
    <n v="26000"/>
    <n v="0"/>
    <n v="26000"/>
    <n v="15000"/>
    <s v="No"/>
    <s v="Chinedu"/>
    <n v="26000"/>
    <n v="0"/>
    <n v="15000"/>
    <n v="11000"/>
    <n v="5"/>
    <b v="0"/>
  </r>
  <r>
    <n v="100316"/>
    <d v="2026-05-12T00:00:00"/>
    <s v="KN-01"/>
    <s v="Kano"/>
    <s v="Online"/>
    <x v="1"/>
    <s v="Earbuds"/>
    <s v="C1100"/>
    <s v="New"/>
    <n v="5"/>
    <n v="32000"/>
    <n v="0"/>
    <n v="160000"/>
    <n v="19000"/>
    <s v="No"/>
    <s v="Chinedu"/>
    <n v="160000"/>
    <n v="0"/>
    <n v="95000"/>
    <n v="65000"/>
    <n v="4"/>
    <b v="0"/>
  </r>
  <r>
    <n v="100317"/>
    <d v="2026-07-09T00:00:00"/>
    <s v="IB-01"/>
    <s v="Ibadan"/>
    <s v="In-store"/>
    <x v="0"/>
    <s v="Electric Kettle"/>
    <s v="C1099"/>
    <s v="Returning"/>
    <n v="1"/>
    <n v="24000"/>
    <n v="0.05"/>
    <n v="22800"/>
    <n v="15000"/>
    <s v="No"/>
    <s v="Kemi"/>
    <n v="22800"/>
    <n v="0"/>
    <n v="15000"/>
    <n v="7800"/>
    <n v="6"/>
    <b v="0"/>
  </r>
  <r>
    <n v="100318"/>
    <d v="2026-06-06T00:00:00"/>
    <s v="KN-01"/>
    <s v="Kano"/>
    <s v="In-store"/>
    <x v="0"/>
    <s v="Standing Fan"/>
    <s v="C1070"/>
    <s v="Returning"/>
    <n v="2"/>
    <n v="58000"/>
    <n v="0.05"/>
    <n v="110200"/>
    <n v="39000"/>
    <s v="No"/>
    <s v="Grace"/>
    <n v="110200"/>
    <n v="0"/>
    <n v="78000"/>
    <n v="32200"/>
    <n v="4"/>
    <b v="0"/>
  </r>
  <r>
    <n v="100319"/>
    <d v="2026-01-18T00:00:00"/>
    <s v="AB-02"/>
    <s v="Abuja"/>
    <s v="In-store"/>
    <x v="2"/>
    <s v="Backpack"/>
    <s v="C1108"/>
    <s v="New"/>
    <n v="4"/>
    <n v="28000"/>
    <n v="0.15"/>
    <n v="95200"/>
    <n v="16000"/>
    <s v="No"/>
    <s v="David"/>
    <n v="95200"/>
    <n v="0"/>
    <n v="64000"/>
    <n v="31200"/>
    <n v="5"/>
    <b v="0"/>
  </r>
  <r>
    <n v="100320"/>
    <d v="2026-03-12T00:00:00"/>
    <s v="AB-01"/>
    <s v="Abuja"/>
    <s v="In-store"/>
    <x v="1"/>
    <s v="Earbuds"/>
    <s v="C1123"/>
    <s v="Returning"/>
    <n v="2"/>
    <n v="32000"/>
    <n v="0.2"/>
    <n v="51200"/>
    <n v="19000"/>
    <s v="No"/>
    <s v="Fatima"/>
    <n v="51200"/>
    <n v="0"/>
    <n v="38000"/>
    <n v="13200"/>
    <n v="5"/>
    <b v="0"/>
  </r>
  <r>
    <n v="100321"/>
    <d v="2026-03-03T00:00:00"/>
    <s v="LG-01"/>
    <s v="Lagos"/>
    <s v="In-store"/>
    <x v="1"/>
    <s v="Smartphone"/>
    <s v="C1106"/>
    <s v="Returning"/>
    <n v="2"/>
    <n v="165000"/>
    <n v="0"/>
    <n v="330000"/>
    <n v="112000"/>
    <s v="No"/>
    <s v="Kemi"/>
    <n v="330000"/>
    <n v="0"/>
    <n v="224000"/>
    <n v="106000"/>
    <n v="5"/>
    <b v="0"/>
  </r>
  <r>
    <n v="100322"/>
    <d v="2026-06-14T00:00:00"/>
    <s v="LG-02"/>
    <s v="Lagos"/>
    <s v="Online"/>
    <x v="0"/>
    <s v="Electric Kettle"/>
    <s v="C1176"/>
    <s v="New"/>
    <n v="1"/>
    <n v="24000"/>
    <n v="0.1"/>
    <n v="21600"/>
    <n v="15000"/>
    <s v="No"/>
    <s v="Grace"/>
    <n v="21600"/>
    <n v="0"/>
    <n v="15000"/>
    <n v="6600"/>
    <n v="5"/>
    <b v="0"/>
  </r>
  <r>
    <n v="100323"/>
    <d v="2026-02-26T00:00:00"/>
    <s v="IB-01"/>
    <s v="Ibadan"/>
    <s v="WhatsApp"/>
    <x v="1"/>
    <s v="Smartphone"/>
    <s v="C1166"/>
    <s v="Returning"/>
    <n v="2"/>
    <n v="165000"/>
    <n v="0"/>
    <n v="330000"/>
    <n v="112000"/>
    <s v="No"/>
    <s v="Chinedu"/>
    <n v="330000"/>
    <n v="0"/>
    <n v="224000"/>
    <n v="106000"/>
    <n v="6"/>
    <b v="0"/>
  </r>
  <r>
    <n v="100324"/>
    <d v="2026-01-16T00:00:00"/>
    <s v="IB-01"/>
    <s v="Ibadan"/>
    <s v="In-store"/>
    <x v="1"/>
    <s v="Smartphone"/>
    <s v="C1027"/>
    <s v="New"/>
    <n v="3"/>
    <n v="165000"/>
    <n v="0.1"/>
    <n v="445500"/>
    <n v="112000"/>
    <s v="No"/>
    <s v="David"/>
    <n v="445500"/>
    <n v="0"/>
    <n v="336000"/>
    <n v="109500"/>
    <n v="6"/>
    <b v="0"/>
  </r>
  <r>
    <n v="100325"/>
    <d v="2026-08-17T00:00:00"/>
    <s v="KN-01"/>
    <s v="Kano"/>
    <s v="WhatsApp"/>
    <x v="0"/>
    <s v="Blender"/>
    <s v="C1120"/>
    <s v="Returning"/>
    <n v="3"/>
    <n v="42000"/>
    <n v="0.05"/>
    <n v="119700"/>
    <n v="28000"/>
    <s v="No"/>
    <s v="Chinedu"/>
    <n v="119700"/>
    <n v="0"/>
    <n v="84000"/>
    <n v="35700"/>
    <n v="4"/>
    <b v="0"/>
  </r>
  <r>
    <n v="100326"/>
    <d v="2026-05-23T00:00:00"/>
    <s v="IB-01"/>
    <s v="Ibadan"/>
    <s v="Online"/>
    <x v="1"/>
    <s v="Earbuds"/>
    <s v="C1064"/>
    <s v="Returning"/>
    <n v="5"/>
    <n v="32000"/>
    <n v="0.05"/>
    <n v="152000"/>
    <n v="19000"/>
    <s v="No"/>
    <s v="Grace"/>
    <n v="152000"/>
    <n v="0"/>
    <n v="95000"/>
    <n v="57000"/>
    <n v="6"/>
    <b v="0"/>
  </r>
  <r>
    <n v="100327"/>
    <d v="2026-04-29T00:00:00"/>
    <s v="LG-02"/>
    <s v="Lagos"/>
    <s v="In-store"/>
    <x v="1"/>
    <s v="Power Bank"/>
    <s v="C1123"/>
    <s v="New"/>
    <n v="1"/>
    <n v="26000"/>
    <n v="0.1"/>
    <n v="23400"/>
    <n v="15000"/>
    <s v="No"/>
    <s v="Kemi"/>
    <n v="23400"/>
    <n v="0"/>
    <n v="15000"/>
    <n v="8400"/>
    <n v="5"/>
    <b v="0"/>
  </r>
  <r>
    <n v="100328"/>
    <d v="2026-05-02T00:00:00"/>
    <s v="KN-01"/>
    <s v="Kano"/>
    <s v="WhatsApp"/>
    <x v="0"/>
    <s v="Blender"/>
    <s v="C1079"/>
    <s v="Returning"/>
    <n v="1"/>
    <n v="42000"/>
    <n v="0.05"/>
    <n v="39900"/>
    <n v="28000"/>
    <s v="No"/>
    <s v="Grace"/>
    <n v="39900"/>
    <n v="0"/>
    <n v="28000"/>
    <n v="11900"/>
    <n v="4"/>
    <b v="0"/>
  </r>
  <r>
    <n v="100329"/>
    <d v="2026-01-01T00:00:00"/>
    <s v="IB-01"/>
    <s v="Ibadan"/>
    <s v="WhatsApp"/>
    <x v="1"/>
    <s v="Earbuds"/>
    <s v="C1143"/>
    <s v="Returning"/>
    <n v="2"/>
    <n v="32000"/>
    <n v="0"/>
    <n v="64000"/>
    <n v="19000"/>
    <s v="Yes"/>
    <s v="Fatima"/>
    <n v="64000"/>
    <n v="0"/>
    <n v="38000"/>
    <n v="26000"/>
    <n v="6"/>
    <b v="0"/>
  </r>
  <r>
    <n v="100330"/>
    <d v="2026-05-11T00:00:00"/>
    <s v="LG-02"/>
    <s v="Lagos"/>
    <s v="In-store"/>
    <x v="0"/>
    <s v="Standing Fan"/>
    <s v="C1034"/>
    <s v="New"/>
    <n v="2"/>
    <n v="58000"/>
    <n v="0.1"/>
    <n v="104400"/>
    <n v="39000"/>
    <s v="No"/>
    <s v="David"/>
    <n v="104400"/>
    <n v="0"/>
    <n v="78000"/>
    <n v="26400"/>
    <n v="5"/>
    <b v="0"/>
  </r>
  <r>
    <n v="100331"/>
    <d v="2026-02-17T00:00:00"/>
    <s v="KN-01"/>
    <s v="Kano"/>
    <s v="Online"/>
    <x v="2"/>
    <s v="Phone Case"/>
    <s v="C1001"/>
    <s v="Returning"/>
    <n v="1"/>
    <n v="9000"/>
    <n v="0.05"/>
    <n v="8550"/>
    <n v="3500"/>
    <s v="No"/>
    <s v="Chinedu"/>
    <n v="8550"/>
    <n v="0"/>
    <n v="3500"/>
    <n v="5050"/>
    <n v="4"/>
    <b v="0"/>
  </r>
  <r>
    <n v="100332"/>
    <d v="2026-03-19T00:00:00"/>
    <s v="AB-01"/>
    <s v="Abuja"/>
    <s v="In-store"/>
    <x v="1"/>
    <s v="Earbuds"/>
    <s v="C1024"/>
    <s v="New"/>
    <n v="1"/>
    <n v="32000"/>
    <n v="0.05"/>
    <n v="30400"/>
    <n v="19000"/>
    <s v="No"/>
    <s v="David"/>
    <n v="30400"/>
    <n v="0"/>
    <n v="19000"/>
    <n v="11400"/>
    <n v="5"/>
    <b v="0"/>
  </r>
  <r>
    <n v="100333"/>
    <d v="2026-01-05T00:00:00"/>
    <s v="AB-01"/>
    <s v="Abuja"/>
    <s v="Online"/>
    <x v="1"/>
    <s v="Earbuds"/>
    <s v="C1174"/>
    <s v="New"/>
    <n v="5"/>
    <n v="32000"/>
    <n v="0.1"/>
    <n v="144000"/>
    <n v="19000"/>
    <s v="No"/>
    <s v="Grace"/>
    <n v="144000"/>
    <n v="0"/>
    <n v="95000"/>
    <n v="49000"/>
    <n v="5"/>
    <b v="0"/>
  </r>
  <r>
    <n v="100334"/>
    <d v="2026-07-16T00:00:00"/>
    <s v="LG-01"/>
    <s v="Lagos"/>
    <s v="In-store"/>
    <x v="2"/>
    <s v="Phone Case"/>
    <s v="C1079"/>
    <s v="Returning"/>
    <n v="1"/>
    <n v="9000"/>
    <n v="0"/>
    <n v="9000"/>
    <n v="3500"/>
    <s v="No"/>
    <s v="Grace"/>
    <n v="9000"/>
    <n v="0"/>
    <n v="3500"/>
    <n v="5500"/>
    <n v="5"/>
    <b v="0"/>
  </r>
  <r>
    <n v="100335"/>
    <d v="2026-01-04T00:00:00"/>
    <s v="IB-01"/>
    <s v="Ibadan"/>
    <s v="Online"/>
    <x v="1"/>
    <s v="Earbuds"/>
    <s v="C1105"/>
    <s v="New"/>
    <n v="1"/>
    <n v="32000"/>
    <n v="0.1"/>
    <n v="28800"/>
    <n v="19000"/>
    <s v="No"/>
    <s v="Aisha"/>
    <n v="28800"/>
    <n v="0"/>
    <n v="19000"/>
    <n v="9800"/>
    <n v="6"/>
    <b v="0"/>
  </r>
  <r>
    <n v="100336"/>
    <d v="2026-03-04T00:00:00"/>
    <s v="IB-01"/>
    <s v="Ibadan"/>
    <s v="WhatsApp"/>
    <x v="1"/>
    <s v="Smartphone"/>
    <s v="C1154"/>
    <s v="Returning"/>
    <n v="2"/>
    <n v="165000"/>
    <n v="0.15"/>
    <n v="280500"/>
    <n v="112000"/>
    <s v="No"/>
    <s v="Fatima"/>
    <n v="280500"/>
    <n v="0"/>
    <n v="224000"/>
    <n v="56500"/>
    <n v="6"/>
    <b v="0"/>
  </r>
  <r>
    <n v="100337"/>
    <d v="2026-03-04T00:00:00"/>
    <s v="KN-01"/>
    <s v="Kano"/>
    <s v="In-store"/>
    <x v="2"/>
    <s v="USB Cable"/>
    <s v="C1086"/>
    <s v="New"/>
    <n v="3"/>
    <n v="6500"/>
    <n v="0.15"/>
    <n v="16575"/>
    <n v="2200"/>
    <s v="No"/>
    <s v="Chinedu"/>
    <n v="16575"/>
    <n v="0"/>
    <n v="6600"/>
    <n v="9975"/>
    <n v="4"/>
    <b v="0"/>
  </r>
  <r>
    <n v="100338"/>
    <d v="2026-03-31T00:00:00"/>
    <s v="LG-01"/>
    <s v="Lagos"/>
    <s v="In-store"/>
    <x v="0"/>
    <s v="Electric Kettle"/>
    <s v="C1069"/>
    <s v="New"/>
    <n v="2"/>
    <n v="24000"/>
    <n v="0.15"/>
    <n v="40800"/>
    <n v="15000"/>
    <s v="No"/>
    <s v="Aisha"/>
    <n v="40800"/>
    <n v="0"/>
    <n v="30000"/>
    <n v="10800"/>
    <n v="5"/>
    <b v="0"/>
  </r>
  <r>
    <n v="100339"/>
    <d v="2026-02-04T00:00:00"/>
    <s v="LG-01"/>
    <s v="Lagos"/>
    <s v="In-store"/>
    <x v="1"/>
    <s v="Power Bank"/>
    <s v="C1025"/>
    <s v="New"/>
    <n v="2"/>
    <n v="26000"/>
    <n v="0.05"/>
    <n v="49400"/>
    <n v="15000"/>
    <s v="No"/>
    <s v="Grace"/>
    <n v="49400"/>
    <n v="0"/>
    <n v="30000"/>
    <n v="19400"/>
    <n v="5"/>
    <b v="0"/>
  </r>
  <r>
    <n v="100340"/>
    <d v="2026-03-25T00:00:00"/>
    <s v="AB-01"/>
    <s v="Abuja"/>
    <s v="Online"/>
    <x v="1"/>
    <s v="Smartphone"/>
    <s v="C1028"/>
    <s v="Returning"/>
    <n v="1"/>
    <n v="165000"/>
    <n v="0.15"/>
    <n v="140250"/>
    <n v="112000"/>
    <s v="No"/>
    <s v="Ibrahim"/>
    <n v="140250"/>
    <n v="0"/>
    <n v="112000"/>
    <n v="28250"/>
    <n v="5"/>
    <b v="0"/>
  </r>
  <r>
    <n v="100341"/>
    <d v="2026-06-08T00:00:00"/>
    <s v="LG-01"/>
    <s v="Lagos"/>
    <s v="In-store"/>
    <x v="1"/>
    <s v="Smartphone"/>
    <s v="C1171"/>
    <s v="Returning"/>
    <n v="3"/>
    <n v="165000"/>
    <n v="0"/>
    <n v="495000"/>
    <n v="112000"/>
    <s v="No"/>
    <s v="Chinedu"/>
    <n v="495000"/>
    <n v="0"/>
    <n v="336000"/>
    <n v="159000"/>
    <n v="5"/>
    <b v="0"/>
  </r>
  <r>
    <n v="100342"/>
    <d v="2026-01-31T00:00:00"/>
    <s v="AB-01"/>
    <s v="Abuja"/>
    <s v="In-store"/>
    <x v="1"/>
    <s v="Earbuds"/>
    <s v="C1127"/>
    <s v="Returning"/>
    <n v="4"/>
    <n v="32000"/>
    <n v="0"/>
    <n v="128000"/>
    <n v="19000"/>
    <s v="No"/>
    <s v="Ibrahim"/>
    <n v="128000"/>
    <n v="0"/>
    <n v="76000"/>
    <n v="52000"/>
    <n v="5"/>
    <b v="0"/>
  </r>
  <r>
    <n v="100343"/>
    <d v="2026-07-14T00:00:00"/>
    <s v="KN-01"/>
    <s v="Kano"/>
    <s v="In-store"/>
    <x v="1"/>
    <s v="Smartphone"/>
    <s v="C1061"/>
    <s v="Returning"/>
    <n v="4"/>
    <n v="165000"/>
    <n v="0"/>
    <n v="660000"/>
    <n v="112000"/>
    <s v="Yes"/>
    <s v="Fatima"/>
    <n v="660000"/>
    <n v="0"/>
    <n v="448000"/>
    <n v="212000"/>
    <n v="4"/>
    <b v="0"/>
  </r>
  <r>
    <n v="100344"/>
    <d v="2026-08-19T00:00:00"/>
    <s v="IB-01"/>
    <s v="Ibadan"/>
    <s v="Online"/>
    <x v="0"/>
    <s v="Electric Kettle"/>
    <s v="C1159"/>
    <s v="New"/>
    <n v="2"/>
    <n v="24000"/>
    <n v="0.1"/>
    <n v="43200"/>
    <n v="15000"/>
    <s v="No"/>
    <s v="Bola"/>
    <n v="43200"/>
    <n v="0"/>
    <n v="30000"/>
    <n v="13200"/>
    <n v="6"/>
    <b v="0"/>
  </r>
  <r>
    <n v="100345"/>
    <d v="2026-01-16T00:00:00"/>
    <s v="LG-01"/>
    <s v="Lagos"/>
    <s v="In-store"/>
    <x v="0"/>
    <s v="Standing Fan"/>
    <s v="C1134"/>
    <s v="Returning"/>
    <n v="2"/>
    <n v="58000"/>
    <n v="0.15"/>
    <n v="98600"/>
    <n v="39000"/>
    <s v="No"/>
    <s v="Chinedu"/>
    <n v="98600"/>
    <n v="0"/>
    <n v="78000"/>
    <n v="20600"/>
    <n v="5"/>
    <b v="0"/>
  </r>
  <r>
    <n v="100346"/>
    <d v="2026-02-12T00:00:00"/>
    <s v="AB-01"/>
    <s v="Abuja"/>
    <s v="In-store"/>
    <x v="2"/>
    <s v="Phone Case"/>
    <s v="C1049"/>
    <s v="Returning"/>
    <n v="2"/>
    <n v="9000"/>
    <n v="0.15"/>
    <n v="15300"/>
    <n v="3500"/>
    <s v="No"/>
    <s v="Ibrahim"/>
    <n v="15300"/>
    <n v="0"/>
    <n v="7000"/>
    <n v="8300"/>
    <n v="5"/>
    <b v="0"/>
  </r>
  <r>
    <n v="100347"/>
    <d v="2026-02-21T00:00:00"/>
    <s v="KN-01"/>
    <s v="Kano"/>
    <s v="In-store"/>
    <x v="1"/>
    <s v="Earbuds"/>
    <s v="C1066"/>
    <s v="Returning"/>
    <n v="3"/>
    <n v="32000"/>
    <n v="0"/>
    <n v="96000"/>
    <n v="19000"/>
    <s v="No"/>
    <s v="Chinedu"/>
    <n v="96000"/>
    <n v="0"/>
    <n v="57000"/>
    <n v="39000"/>
    <n v="4"/>
    <b v="0"/>
  </r>
  <r>
    <n v="100348"/>
    <d v="2026-07-22T00:00:00"/>
    <s v="KN-01"/>
    <s v="Kano"/>
    <s v="In-store"/>
    <x v="0"/>
    <s v="Electric Kettle"/>
    <s v="C1096"/>
    <s v="Returning"/>
    <n v="5"/>
    <n v="24000"/>
    <n v="0.05"/>
    <n v="114000"/>
    <n v="15000"/>
    <s v="No"/>
    <s v="Chinedu"/>
    <n v="114000"/>
    <n v="0"/>
    <n v="75000"/>
    <n v="39000"/>
    <n v="4"/>
    <b v="0"/>
  </r>
  <r>
    <n v="100349"/>
    <d v="2026-04-29T00:00:00"/>
    <s v="IB-01"/>
    <s v="Ibadan"/>
    <s v="In-store"/>
    <x v="1"/>
    <s v="Earbuds"/>
    <s v="C1097"/>
    <s v="Returning"/>
    <n v="2"/>
    <n v="32000"/>
    <n v="0.15"/>
    <n v="54400"/>
    <n v="19000"/>
    <s v="No"/>
    <s v="Aisha"/>
    <n v="54400"/>
    <n v="0"/>
    <n v="38000"/>
    <n v="16400"/>
    <n v="6"/>
    <b v="0"/>
  </r>
  <r>
    <n v="100350"/>
    <d v="2026-05-28T00:00:00"/>
    <s v="LG-01"/>
    <s v="Lagos"/>
    <s v="In-store"/>
    <x v="0"/>
    <s v="Blender"/>
    <s v="C1110"/>
    <s v="New"/>
    <n v="3"/>
    <n v="42000"/>
    <n v="0.15"/>
    <n v="96390"/>
    <n v="28000"/>
    <s v="No"/>
    <s v="Fatima"/>
    <n v="107100"/>
    <n v="-10710"/>
    <n v="84000"/>
    <n v="23100"/>
    <n v="5"/>
    <b v="0"/>
  </r>
  <r>
    <n v="100351"/>
    <d v="2026-01-18T00:00:00"/>
    <s v="KN-01"/>
    <s v="Kano"/>
    <s v="In-store"/>
    <x v="1"/>
    <s v="Earbuds"/>
    <s v="C1029"/>
    <s v="New"/>
    <n v="2"/>
    <n v="32000"/>
    <n v="0.1"/>
    <n v="57600"/>
    <n v="19000"/>
    <s v="No"/>
    <s v="Bola"/>
    <n v="57600"/>
    <n v="0"/>
    <n v="38000"/>
    <n v="19600"/>
    <n v="4"/>
    <b v="0"/>
  </r>
  <r>
    <n v="100352"/>
    <d v="2026-04-22T00:00:00"/>
    <s v="LG-01"/>
    <s v="Lagos"/>
    <s v="Online"/>
    <x v="1"/>
    <s v="Earbuds"/>
    <s v="C1071"/>
    <s v="New"/>
    <n v="2"/>
    <n v="32000"/>
    <n v="0.15"/>
    <n v="54400"/>
    <n v="19000"/>
    <s v="No"/>
    <s v="Bola"/>
    <n v="54400"/>
    <n v="0"/>
    <n v="38000"/>
    <n v="16400"/>
    <n v="5"/>
    <b v="0"/>
  </r>
  <r>
    <n v="100353"/>
    <d v="2026-06-30T00:00:00"/>
    <s v="AB-01"/>
    <s v="Abuja"/>
    <s v="Online"/>
    <x v="2"/>
    <s v="Backpack"/>
    <s v="C1021"/>
    <s v="New"/>
    <n v="1"/>
    <n v="28000"/>
    <n v="0.15"/>
    <n v="23800"/>
    <n v="16000"/>
    <s v="No"/>
    <s v="Bola"/>
    <n v="23800"/>
    <n v="0"/>
    <n v="16000"/>
    <n v="7800"/>
    <n v="5"/>
    <b v="0"/>
  </r>
  <r>
    <n v="100354"/>
    <d v="2026-01-15T00:00:00"/>
    <s v="IB-01"/>
    <s v="Ibadan"/>
    <s v="Online"/>
    <x v="2"/>
    <s v="Phone Case"/>
    <s v="C1091"/>
    <s v="Returning"/>
    <n v="1"/>
    <n v="9000"/>
    <n v="0.15"/>
    <n v="7650"/>
    <n v="3500"/>
    <s v="No"/>
    <s v="Fatima"/>
    <n v="7650"/>
    <n v="0"/>
    <n v="3500"/>
    <n v="4150"/>
    <n v="6"/>
    <b v="0"/>
  </r>
  <r>
    <n v="100355"/>
    <d v="2026-03-18T00:00:00"/>
    <s v="LG-02"/>
    <s v="Lagos"/>
    <s v="Online"/>
    <x v="0"/>
    <s v="Blender"/>
    <s v="C1077"/>
    <s v="Returning"/>
    <n v="18"/>
    <n v="42000"/>
    <n v="0.1"/>
    <n v="680400"/>
    <n v="28000"/>
    <s v="No"/>
    <s v="Kemi"/>
    <n v="680400"/>
    <n v="0"/>
    <n v="504000"/>
    <n v="176400"/>
    <n v="5"/>
    <b v="0"/>
  </r>
  <r>
    <n v="100356"/>
    <d v="2026-04-04T00:00:00"/>
    <s v="IB-01"/>
    <s v="Ibadan"/>
    <s v="Online"/>
    <x v="0"/>
    <s v="Standing Fan"/>
    <s v="C1178"/>
    <s v="Returning"/>
    <n v="4"/>
    <n v="58000"/>
    <n v="0"/>
    <n v="232000"/>
    <n v="39000"/>
    <s v="No"/>
    <s v="Bola"/>
    <n v="232000"/>
    <n v="0"/>
    <n v="156000"/>
    <n v="76000"/>
    <n v="6"/>
    <b v="0"/>
  </r>
  <r>
    <n v="100357"/>
    <d v="2026-07-23T00:00:00"/>
    <s v="AB-02"/>
    <s v="Abuja"/>
    <s v="In-store"/>
    <x v="1"/>
    <s v="Power Bank"/>
    <s v="C1049"/>
    <s v="Returning"/>
    <n v="1"/>
    <n v="26000"/>
    <n v="0.2"/>
    <n v="20800"/>
    <n v="15000"/>
    <s v="No"/>
    <s v="David"/>
    <n v="20800"/>
    <n v="0"/>
    <n v="15000"/>
    <n v="5800"/>
    <n v="5"/>
    <b v="0"/>
  </r>
  <r>
    <n v="100358"/>
    <d v="2026-05-09T00:00:00"/>
    <s v="AB-02"/>
    <s v="Abuja"/>
    <s v="Online"/>
    <x v="1"/>
    <s v="Power Bank"/>
    <s v="C1000"/>
    <s v="Returning"/>
    <n v="2"/>
    <n v="26000"/>
    <n v="0.1"/>
    <n v="46800"/>
    <n v="15000"/>
    <s v="Yes"/>
    <s v="Bola"/>
    <n v="46800"/>
    <n v="0"/>
    <n v="30000"/>
    <n v="16800"/>
    <n v="5"/>
    <b v="0"/>
  </r>
  <r>
    <n v="100359"/>
    <d v="2026-08-12T00:00:00"/>
    <s v="AB-02"/>
    <s v="Abuja"/>
    <s v="Online"/>
    <x v="2"/>
    <s v="Backpack"/>
    <s v="C1185"/>
    <s v="New"/>
    <n v="1"/>
    <n v="28000"/>
    <n v="0"/>
    <n v="28000"/>
    <n v="16000"/>
    <s v="No"/>
    <s v="Fatima"/>
    <n v="28000"/>
    <n v="0"/>
    <n v="16000"/>
    <n v="12000"/>
    <n v="5"/>
    <b v="0"/>
  </r>
  <r>
    <n v="100360"/>
    <d v="2026-07-01T00:00:00"/>
    <s v="KN-01"/>
    <s v="Kano"/>
    <s v="Online"/>
    <x v="0"/>
    <s v="Blender"/>
    <s v="C1008"/>
    <s v="Returning"/>
    <n v="1"/>
    <n v="42000"/>
    <n v="0.15"/>
    <n v="35700"/>
    <n v="28000"/>
    <s v="No"/>
    <s v="Kemi"/>
    <n v="35700"/>
    <n v="0"/>
    <n v="28000"/>
    <n v="7700"/>
    <n v="4"/>
    <b v="0"/>
  </r>
  <r>
    <n v="100361"/>
    <d v="2026-01-06T00:00:00"/>
    <s v="IB-01"/>
    <s v="Ibadan"/>
    <s v="Online"/>
    <x v="2"/>
    <s v="USB Cable"/>
    <s v="C1151"/>
    <s v="New"/>
    <n v="2"/>
    <n v="6500"/>
    <n v="0.05"/>
    <n v="12350"/>
    <n v="2200"/>
    <s v="No"/>
    <s v="Aisha"/>
    <n v="12350"/>
    <n v="0"/>
    <n v="4400"/>
    <n v="7950"/>
    <n v="6"/>
    <b v="0"/>
  </r>
  <r>
    <n v="100362"/>
    <d v="2026-03-24T00:00:00"/>
    <s v="LG-02"/>
    <s v="Lagos"/>
    <s v="Online"/>
    <x v="2"/>
    <s v="Phone Case"/>
    <s v="C1132"/>
    <s v="New"/>
    <n v="4"/>
    <n v="9000"/>
    <n v="0.15"/>
    <n v="30600"/>
    <n v="3500"/>
    <s v="No"/>
    <s v="Ibrahim"/>
    <n v="30600"/>
    <n v="0"/>
    <n v="14000"/>
    <n v="16600"/>
    <n v="5"/>
    <b v="0"/>
  </r>
  <r>
    <n v="100363"/>
    <d v="2026-06-20T00:00:00"/>
    <s v="IB-01"/>
    <s v="Ibadan"/>
    <s v="In-store"/>
    <x v="0"/>
    <s v="Electric Kettle"/>
    <s v="C1190"/>
    <s v="Returning"/>
    <n v="2"/>
    <n v="24000"/>
    <n v="0.1"/>
    <n v="43200"/>
    <n v="15000"/>
    <s v="No"/>
    <s v="Ibrahim"/>
    <n v="43200"/>
    <n v="0"/>
    <n v="30000"/>
    <n v="13200"/>
    <n v="6"/>
    <b v="0"/>
  </r>
  <r>
    <n v="100364"/>
    <d v="2026-07-23T00:00:00"/>
    <s v="AB-01"/>
    <s v="Abuja"/>
    <s v="In-store"/>
    <x v="0"/>
    <s v="Electric Kettle"/>
    <s v="C1015"/>
    <s v="Returning"/>
    <n v="2"/>
    <n v="24000"/>
    <n v="0.25"/>
    <n v="36000"/>
    <n v="15000"/>
    <s v="Yes"/>
    <s v="Fatima"/>
    <n v="36000"/>
    <n v="0"/>
    <n v="30000"/>
    <n v="6000"/>
    <n v="5"/>
    <b v="0"/>
  </r>
  <r>
    <n v="100365"/>
    <d v="2026-06-22T00:00:00"/>
    <s v="IB-01"/>
    <s v="Ibadan"/>
    <s v="WhatsApp"/>
    <x v="1"/>
    <s v="Smartphone"/>
    <s v="C1169"/>
    <s v="Returning"/>
    <n v="4"/>
    <n v="165000"/>
    <n v="0.05"/>
    <n v="627000"/>
    <n v="112000"/>
    <s v="No"/>
    <s v="Chinedu"/>
    <n v="627000"/>
    <n v="0"/>
    <n v="448000"/>
    <n v="179000"/>
    <n v="6"/>
    <b v="0"/>
  </r>
  <r>
    <n v="100366"/>
    <d v="2026-07-19T00:00:00"/>
    <s v="AB-01"/>
    <s v="Abuja"/>
    <s v="WhatsApp"/>
    <x v="0"/>
    <s v="Electric Kettle"/>
    <s v="C1027"/>
    <s v="Returning"/>
    <n v="1"/>
    <n v="24000"/>
    <n v="0.25"/>
    <n v="18000"/>
    <n v="15000"/>
    <s v="Yes"/>
    <s v="Bola"/>
    <n v="18000"/>
    <n v="0"/>
    <n v="15000"/>
    <n v="3000"/>
    <n v="5"/>
    <b v="0"/>
  </r>
  <r>
    <n v="100367"/>
    <d v="2026-07-22T00:00:00"/>
    <s v="KN-01"/>
    <s v="Kano"/>
    <s v="In-store"/>
    <x v="2"/>
    <s v="Phone Case"/>
    <s v="C1187"/>
    <s v="Returning"/>
    <n v="2"/>
    <n v="9000"/>
    <n v="0"/>
    <n v="18000"/>
    <n v="3500"/>
    <s v="No"/>
    <s v="Kemi"/>
    <n v="18000"/>
    <n v="0"/>
    <n v="7000"/>
    <n v="11000"/>
    <n v="4"/>
    <b v="0"/>
  </r>
  <r>
    <n v="100368"/>
    <d v="2026-07-13T00:00:00"/>
    <s v="LG-02"/>
    <s v="Lagos"/>
    <s v="In-store"/>
    <x v="2"/>
    <s v="USB Cable"/>
    <s v="C1102"/>
    <s v="Returning"/>
    <n v="4"/>
    <n v="6500"/>
    <n v="0.05"/>
    <n v="24700"/>
    <n v="2200"/>
    <s v="No"/>
    <s v="Bola"/>
    <n v="24700"/>
    <n v="0"/>
    <n v="8800"/>
    <n v="15900"/>
    <n v="5"/>
    <b v="0"/>
  </r>
  <r>
    <n v="100369"/>
    <d v="2026-06-20T00:00:00"/>
    <s v="KN-01"/>
    <s v="Kano"/>
    <s v="WhatsApp"/>
    <x v="1"/>
    <s v="Power Bank"/>
    <s v="C1102"/>
    <s v="Returning"/>
    <n v="2"/>
    <n v="26000"/>
    <n v="0.05"/>
    <n v="59280"/>
    <n v="15000"/>
    <s v="No"/>
    <s v="Bola"/>
    <n v="49400"/>
    <n v="9880"/>
    <n v="30000"/>
    <n v="19400"/>
    <n v="4"/>
    <b v="0"/>
  </r>
  <r>
    <n v="100370"/>
    <d v="2026-06-12T00:00:00"/>
    <s v="LG-01"/>
    <s v="Lagos"/>
    <s v="WhatsApp"/>
    <x v="0"/>
    <s v="Standing Fan"/>
    <s v="C1002"/>
    <s v="Returning"/>
    <n v="1"/>
    <n v="58000"/>
    <n v="0.1"/>
    <n v="52200"/>
    <n v="39000"/>
    <s v="No"/>
    <s v="Grace"/>
    <n v="52200"/>
    <n v="0"/>
    <n v="39000"/>
    <n v="13200"/>
    <n v="5"/>
    <b v="0"/>
  </r>
  <r>
    <n v="100371"/>
    <d v="2026-04-19T00:00:00"/>
    <s v="IB-01"/>
    <s v="Ibadan"/>
    <s v="In-store"/>
    <x v="0"/>
    <s v="Standing Fan"/>
    <s v="C1170"/>
    <s v="New"/>
    <n v="3"/>
    <n v="58000"/>
    <n v="0.1"/>
    <n v="156600"/>
    <n v="39000"/>
    <s v="No"/>
    <s v="Grace"/>
    <n v="156600"/>
    <n v="0"/>
    <n v="117000"/>
    <n v="39600"/>
    <n v="6"/>
    <b v="0"/>
  </r>
  <r>
    <n v="100372"/>
    <d v="2026-07-31T00:00:00"/>
    <s v="AB-01"/>
    <s v="Abuja"/>
    <s v="In-store"/>
    <x v="0"/>
    <s v="Electric Kettle"/>
    <s v="C1124"/>
    <s v="Returning"/>
    <n v="1"/>
    <n v="24000"/>
    <n v="0"/>
    <n v="24000"/>
    <n v="15000"/>
    <s v="No"/>
    <s v="Grace"/>
    <n v="24000"/>
    <n v="0"/>
    <n v="15000"/>
    <n v="9000"/>
    <n v="5"/>
    <b v="0"/>
  </r>
  <r>
    <n v="100373"/>
    <d v="2026-02-22T00:00:00"/>
    <s v="AB-01"/>
    <s v="Abuja"/>
    <s v="In-store"/>
    <x v="0"/>
    <s v="Standing Fan"/>
    <s v="C1025"/>
    <s v="New"/>
    <n v="2"/>
    <n v="58000"/>
    <n v="0.2"/>
    <n v="92800"/>
    <n v="39000"/>
    <s v="Yes"/>
    <s v="Chinedu"/>
    <n v="92800"/>
    <n v="0"/>
    <n v="78000"/>
    <n v="14800"/>
    <n v="5"/>
    <b v="0"/>
  </r>
  <r>
    <n v="100374"/>
    <d v="2026-03-31T00:00:00"/>
    <s v="KN-01"/>
    <s v="Kano"/>
    <s v="Online"/>
    <x v="0"/>
    <s v="Electric Kettle"/>
    <s v="C1063"/>
    <s v="New"/>
    <n v="1"/>
    <n v="24000"/>
    <n v="0.05"/>
    <n v="22800"/>
    <n v="15000"/>
    <s v="No"/>
    <s v="Fatima"/>
    <n v="22800"/>
    <n v="0"/>
    <n v="15000"/>
    <n v="7800"/>
    <n v="4"/>
    <b v="0"/>
  </r>
  <r>
    <n v="100375"/>
    <d v="2026-01-04T00:00:00"/>
    <s v="AB-01"/>
    <s v="Abuja"/>
    <s v="In-store"/>
    <x v="0"/>
    <s v="Blender"/>
    <s v="C1085"/>
    <s v="New"/>
    <n v="2"/>
    <n v="42000"/>
    <n v="0.25"/>
    <n v="63000"/>
    <n v="28000"/>
    <s v="No"/>
    <s v="Chinedu"/>
    <n v="63000"/>
    <n v="0"/>
    <n v="56000"/>
    <n v="7000"/>
    <n v="5"/>
    <b v="0"/>
  </r>
  <r>
    <n v="100376"/>
    <d v="2026-01-28T00:00:00"/>
    <s v="KN-01"/>
    <s v="Kano"/>
    <s v="In-store"/>
    <x v="1"/>
    <s v="Smartphone"/>
    <s v="C1160"/>
    <s v="New"/>
    <n v="1"/>
    <n v="165000"/>
    <n v="0.1"/>
    <n v="148500"/>
    <n v="112000"/>
    <s v="No"/>
    <s v="Kemi"/>
    <n v="148500"/>
    <n v="0"/>
    <n v="112000"/>
    <n v="36500"/>
    <n v="4"/>
    <b v="0"/>
  </r>
  <r>
    <n v="100377"/>
    <d v="2026-04-27T00:00:00"/>
    <s v="LG-02"/>
    <s v="Lagos"/>
    <s v="In-store"/>
    <x v="2"/>
    <s v="USB Cable"/>
    <s v="C1048"/>
    <s v="New"/>
    <n v="3"/>
    <n v="6500"/>
    <n v="0.05"/>
    <n v="18525"/>
    <n v="2200"/>
    <s v="Yes"/>
    <s v="Kemi"/>
    <n v="18525"/>
    <n v="0"/>
    <n v="6600"/>
    <n v="11925"/>
    <n v="5"/>
    <b v="0"/>
  </r>
  <r>
    <n v="100378"/>
    <d v="2026-04-09T00:00:00"/>
    <s v="IB-01"/>
    <s v="Ibadan"/>
    <s v="Online"/>
    <x v="1"/>
    <s v="Smartphone"/>
    <s v="C1007"/>
    <s v="New"/>
    <n v="3"/>
    <n v="165000"/>
    <n v="0.05"/>
    <n v="470250"/>
    <n v="112000"/>
    <s v="No"/>
    <s v="Aisha"/>
    <n v="470250"/>
    <n v="0"/>
    <n v="336000"/>
    <n v="134250"/>
    <n v="6"/>
    <b v="0"/>
  </r>
  <r>
    <n v="100379"/>
    <d v="2026-03-14T00:00:00"/>
    <s v="AB-01"/>
    <s v="Abuja"/>
    <s v="In-store"/>
    <x v="0"/>
    <s v="Standing Fan"/>
    <s v="C1022"/>
    <s v="Returning"/>
    <n v="3"/>
    <n v="58000"/>
    <n v="0.25"/>
    <n v="130500"/>
    <n v="39000"/>
    <s v="No"/>
    <s v="Ibrahim"/>
    <n v="130500"/>
    <n v="0"/>
    <n v="117000"/>
    <n v="13500"/>
    <n v="5"/>
    <b v="0"/>
  </r>
  <r>
    <n v="100380"/>
    <d v="2026-01-29T00:00:00"/>
    <s v="KN-01"/>
    <s v="Kano"/>
    <s v="WhatsApp"/>
    <x v="1"/>
    <s v="Earbuds"/>
    <s v="C1119"/>
    <s v="Returning"/>
    <n v="2"/>
    <n v="32000"/>
    <n v="0.15"/>
    <n v="54400"/>
    <n v="19000"/>
    <s v="No"/>
    <s v="Kemi"/>
    <n v="54400"/>
    <n v="0"/>
    <n v="38000"/>
    <n v="16400"/>
    <n v="4"/>
    <b v="0"/>
  </r>
  <r>
    <n v="100381"/>
    <d v="2026-04-03T00:00:00"/>
    <s v="PH-01"/>
    <s v="Port Harcourt"/>
    <s v="In-store"/>
    <x v="2"/>
    <s v="Phone Case"/>
    <s v="C1190"/>
    <s v="Returning"/>
    <n v="2"/>
    <n v="9000"/>
    <n v="0.05"/>
    <n v="17100"/>
    <n v="3500"/>
    <s v="No"/>
    <s v="Kemi"/>
    <n v="17100"/>
    <n v="0"/>
    <n v="7000"/>
    <n v="10100"/>
    <n v="13"/>
    <b v="0"/>
  </r>
  <r>
    <n v="100382"/>
    <d v="2026-08-15T00:00:00"/>
    <s v="PH-01"/>
    <s v="Port Harcourt"/>
    <s v="Online"/>
    <x v="0"/>
    <s v="Blender"/>
    <s v="C1172"/>
    <s v="New"/>
    <n v="4"/>
    <n v="42000"/>
    <n v="0.15"/>
    <n v="142800"/>
    <n v="28000"/>
    <s v="No"/>
    <s v="Aisha"/>
    <n v="142800"/>
    <n v="0"/>
    <n v="112000"/>
    <n v="30800"/>
    <n v="13"/>
    <b v="0"/>
  </r>
  <r>
    <n v="100383"/>
    <d v="2026-02-20T00:00:00"/>
    <s v="LG-01"/>
    <s v="Lagos"/>
    <s v="In-store"/>
    <x v="2"/>
    <s v="USB Cable"/>
    <s v="C1042"/>
    <s v="Returning"/>
    <n v="22"/>
    <n v="6500"/>
    <n v="0"/>
    <n v="143000"/>
    <n v="2200"/>
    <s v="No"/>
    <s v="David"/>
    <n v="143000"/>
    <n v="0"/>
    <n v="48400"/>
    <n v="94600"/>
    <n v="5"/>
    <b v="0"/>
  </r>
  <r>
    <n v="100384"/>
    <d v="2026-07-24T00:00:00"/>
    <s v="IB-01"/>
    <s v="Ibadan"/>
    <s v="Online"/>
    <x v="0"/>
    <s v="Electric Kettle"/>
    <s v="C1026"/>
    <s v="Returning"/>
    <n v="3"/>
    <n v="24000"/>
    <n v="0.05"/>
    <n v="68400"/>
    <n v="15000"/>
    <s v="No"/>
    <s v="Ibrahim"/>
    <n v="68400"/>
    <n v="0"/>
    <n v="45000"/>
    <n v="23400"/>
    <n v="6"/>
    <b v="0"/>
  </r>
  <r>
    <n v="100385"/>
    <d v="2026-07-02T00:00:00"/>
    <s v="LG-02"/>
    <s v="Lagos"/>
    <s v="In-store"/>
    <x v="1"/>
    <s v="Smartphone"/>
    <s v="C1111"/>
    <s v="Returning"/>
    <n v="3"/>
    <n v="165000"/>
    <n v="0"/>
    <n v="495000"/>
    <n v="112000"/>
    <s v="No"/>
    <s v="Kemi"/>
    <n v="495000"/>
    <n v="0"/>
    <n v="336000"/>
    <n v="159000"/>
    <n v="5"/>
    <b v="0"/>
  </r>
  <r>
    <n v="100386"/>
    <d v="2026-01-27T00:00:00"/>
    <s v="LG-01"/>
    <s v="Lagos"/>
    <s v="WhatsApp"/>
    <x v="2"/>
    <s v="Phone Case"/>
    <s v="C1068"/>
    <s v="New"/>
    <n v="3"/>
    <n v="9000"/>
    <n v="0"/>
    <n v="27000"/>
    <n v="3500"/>
    <s v="No"/>
    <s v="Ibrahim"/>
    <n v="27000"/>
    <n v="0"/>
    <n v="10500"/>
    <n v="16500"/>
    <n v="5"/>
    <b v="0"/>
  </r>
  <r>
    <n v="100387"/>
    <d v="2026-07-28T00:00:00"/>
    <s v="IB-01"/>
    <s v="Ibadan"/>
    <s v="In-store"/>
    <x v="1"/>
    <s v="Earbuds"/>
    <s v="C1175"/>
    <s v="Returning"/>
    <n v="4"/>
    <n v="32000"/>
    <n v="0.1"/>
    <n v="115200"/>
    <n v="19000"/>
    <s v="No"/>
    <s v="Kemi"/>
    <n v="115200"/>
    <n v="0"/>
    <n v="76000"/>
    <n v="39200"/>
    <n v="6"/>
    <b v="0"/>
  </r>
  <r>
    <n v="100388"/>
    <d v="2026-08-25T00:00:00"/>
    <s v="PH-01"/>
    <s v="Port Harcourt"/>
    <s v="In-store"/>
    <x v="1"/>
    <s v="Earbuds"/>
    <s v="C1185"/>
    <s v="Returning"/>
    <n v="1"/>
    <n v="32000"/>
    <n v="0"/>
    <n v="32000"/>
    <n v="19000"/>
    <s v="No"/>
    <s v="Bola"/>
    <n v="32000"/>
    <n v="0"/>
    <n v="19000"/>
    <n v="13000"/>
    <n v="13"/>
    <b v="0"/>
  </r>
  <r>
    <n v="100389"/>
    <d v="2026-06-17T00:00:00"/>
    <s v="IB-01"/>
    <s v="Ibadan"/>
    <s v="In-store"/>
    <x v="0"/>
    <s v="Electric Kettle"/>
    <s v="C1029"/>
    <s v="New"/>
    <n v="1"/>
    <n v="24000"/>
    <n v="0.05"/>
    <n v="22800"/>
    <n v="15000"/>
    <s v="No"/>
    <s v="Aisha"/>
    <n v="22800"/>
    <n v="0"/>
    <n v="15000"/>
    <n v="7800"/>
    <n v="6"/>
    <b v="0"/>
  </r>
  <r>
    <n v="100390"/>
    <d v="2026-08-06T00:00:00"/>
    <s v="KN-01"/>
    <s v="Kano"/>
    <s v="WhatsApp"/>
    <x v="0"/>
    <s v="Standing Fan"/>
    <s v="C1066"/>
    <s v="Returning"/>
    <n v="2"/>
    <n v="58000"/>
    <n v="0.1"/>
    <n v="104400"/>
    <n v="39000"/>
    <s v="No"/>
    <s v="Ibrahim"/>
    <n v="104400"/>
    <n v="0"/>
    <n v="78000"/>
    <n v="26400"/>
    <n v="4"/>
    <b v="0"/>
  </r>
  <r>
    <n v="100391"/>
    <d v="2026-04-13T00:00:00"/>
    <s v="KN-01"/>
    <s v="Kano"/>
    <s v="Online"/>
    <x v="2"/>
    <s v="Phone Case"/>
    <s v="C1150"/>
    <s v="New"/>
    <n v="1"/>
    <n v="9000"/>
    <n v="0.05"/>
    <n v="8550"/>
    <n v="3500"/>
    <s v="No"/>
    <s v="David"/>
    <n v="8550"/>
    <n v="0"/>
    <n v="3500"/>
    <n v="5050"/>
    <n v="4"/>
    <b v="0"/>
  </r>
  <r>
    <n v="100392"/>
    <d v="2026-06-05T00:00:00"/>
    <s v="LG-02"/>
    <s v="Lagos"/>
    <s v="In-store"/>
    <x v="2"/>
    <s v="USB Cable"/>
    <s v="C1072"/>
    <s v="New"/>
    <n v="2"/>
    <n v="6500"/>
    <n v="0.15"/>
    <n v="11050"/>
    <n v="2200"/>
    <s v="No"/>
    <s v="David"/>
    <n v="11050"/>
    <n v="0"/>
    <n v="4400"/>
    <n v="6650"/>
    <n v="5"/>
    <b v="0"/>
  </r>
  <r>
    <n v="100393"/>
    <d v="2026-01-17T00:00:00"/>
    <s v="KN-01"/>
    <s v="Kano"/>
    <s v="Online"/>
    <x v="2"/>
    <s v="USB Cable"/>
    <s v="C1001"/>
    <s v="Returning"/>
    <n v="2"/>
    <n v="6500"/>
    <n v="0.1"/>
    <n v="11700"/>
    <n v="2200"/>
    <s v="No"/>
    <s v="Chinedu"/>
    <n v="11700"/>
    <n v="0"/>
    <n v="4400"/>
    <n v="7300"/>
    <n v="4"/>
    <b v="0"/>
  </r>
  <r>
    <n v="100394"/>
    <d v="2026-08-21T00:00:00"/>
    <s v="LG-01"/>
    <s v="Lagos"/>
    <s v="Online"/>
    <x v="2"/>
    <s v="Phone Case"/>
    <s v="C1065"/>
    <s v="Returning"/>
    <n v="3"/>
    <n v="9000"/>
    <n v="0.05"/>
    <n v="25650"/>
    <n v="3500"/>
    <s v="No"/>
    <s v="Aisha"/>
    <n v="25650"/>
    <n v="0"/>
    <n v="10500"/>
    <n v="15150"/>
    <n v="5"/>
    <b v="0"/>
  </r>
  <r>
    <n v="100395"/>
    <d v="2026-05-09T00:00:00"/>
    <s v="KN-01"/>
    <s v="Kano"/>
    <s v="WhatsApp"/>
    <x v="2"/>
    <s v="Backpack"/>
    <s v="C1089"/>
    <s v="Returning"/>
    <n v="2"/>
    <n v="28000"/>
    <n v="0.05"/>
    <n v="53200"/>
    <n v="16000"/>
    <s v="No"/>
    <s v="Aisha"/>
    <n v="53200"/>
    <n v="0"/>
    <n v="32000"/>
    <n v="21200"/>
    <n v="4"/>
    <b v="0"/>
  </r>
  <r>
    <n v="100396"/>
    <d v="2026-01-26T00:00:00"/>
    <s v="AB-01"/>
    <s v="Abuja"/>
    <s v="In-store"/>
    <x v="0"/>
    <s v="Electric Kettle"/>
    <s v="C1138"/>
    <s v="Returning"/>
    <n v="1"/>
    <n v="24000"/>
    <n v="0.2"/>
    <n v="19200"/>
    <n v="15000"/>
    <s v="No"/>
    <s v="Bola"/>
    <n v="19200"/>
    <n v="0"/>
    <n v="15000"/>
    <n v="4200"/>
    <n v="5"/>
    <b v="0"/>
  </r>
  <r>
    <n v="100397"/>
    <d v="2026-06-17T00:00:00"/>
    <s v="LG-02"/>
    <s v="Lagos"/>
    <s v="WhatsApp"/>
    <x v="1"/>
    <s v="Smartphone"/>
    <s v="C1039"/>
    <s v="New"/>
    <n v="3"/>
    <n v="165000"/>
    <n v="0"/>
    <n v="495000"/>
    <n v="112000"/>
    <s v="No"/>
    <s v="Grace"/>
    <n v="495000"/>
    <n v="0"/>
    <n v="336000"/>
    <n v="159000"/>
    <n v="5"/>
    <b v="0"/>
  </r>
  <r>
    <n v="100398"/>
    <d v="2026-07-15T00:00:00"/>
    <s v="LG-01"/>
    <s v="Lagos"/>
    <s v="In-store"/>
    <x v="0"/>
    <s v="Standing Fan"/>
    <s v="C1134"/>
    <s v="Returning"/>
    <n v="4"/>
    <n v="58000"/>
    <n v="0"/>
    <n v="232000"/>
    <n v="39000"/>
    <s v="No"/>
    <s v="Grace"/>
    <n v="232000"/>
    <n v="0"/>
    <n v="156000"/>
    <n v="76000"/>
    <n v="5"/>
    <b v="0"/>
  </r>
  <r>
    <n v="100399"/>
    <d v="2026-05-31T00:00:00"/>
    <s v="KN-01"/>
    <s v="Kano"/>
    <s v="Online"/>
    <x v="1"/>
    <s v="Power Bank"/>
    <s v="C1133"/>
    <s v="Returning"/>
    <n v="2"/>
    <n v="26000"/>
    <n v="0.1"/>
    <n v="46800"/>
    <n v="15000"/>
    <s v="No"/>
    <s v="Chinedu"/>
    <n v="46800"/>
    <n v="0"/>
    <n v="30000"/>
    <n v="16800"/>
    <n v="4"/>
    <b v="0"/>
  </r>
  <r>
    <n v="100400"/>
    <d v="2026-04-29T00:00:00"/>
    <s v="IB-01"/>
    <s v="Ibadan"/>
    <s v="WhatsApp"/>
    <x v="0"/>
    <s v="Standing Fan"/>
    <s v="C1039"/>
    <s v="New"/>
    <n v="1"/>
    <n v="58000"/>
    <n v="0"/>
    <n v="58000"/>
    <n v="39000"/>
    <s v="No"/>
    <s v="Aisha"/>
    <n v="58000"/>
    <n v="0"/>
    <n v="39000"/>
    <n v="19000"/>
    <n v="6"/>
    <b v="0"/>
  </r>
  <r>
    <n v="100401"/>
    <d v="2026-05-26T00:00:00"/>
    <s v="IB-01"/>
    <s v="Ibadan"/>
    <s v="Online"/>
    <x v="1"/>
    <s v="Smartphone"/>
    <s v="C1158"/>
    <s v="Returning"/>
    <n v="3"/>
    <n v="165000"/>
    <n v="0"/>
    <n v="495000"/>
    <n v="112000"/>
    <s v="Yes"/>
    <s v="Fatima"/>
    <n v="495000"/>
    <n v="0"/>
    <n v="336000"/>
    <n v="159000"/>
    <n v="6"/>
    <b v="0"/>
  </r>
  <r>
    <n v="100402"/>
    <d v="2026-01-21T00:00:00"/>
    <s v="IB-01"/>
    <s v="Ibadan"/>
    <s v="WhatsApp"/>
    <x v="1"/>
    <s v="Smartphone"/>
    <s v="C1062"/>
    <s v="Returning"/>
    <n v="1"/>
    <n v="165000"/>
    <n v="0.1"/>
    <n v="148500"/>
    <n v="112000"/>
    <s v="No"/>
    <s v="Aisha"/>
    <n v="148500"/>
    <n v="0"/>
    <n v="112000"/>
    <n v="36500"/>
    <n v="6"/>
    <b v="0"/>
  </r>
  <r>
    <n v="100403"/>
    <d v="2026-04-24T00:00:00"/>
    <s v="PH-01"/>
    <s v="Port Harcourt"/>
    <s v="In-store"/>
    <x v="0"/>
    <s v="Blender"/>
    <s v="C1149"/>
    <s v="New"/>
    <n v="3"/>
    <n v="42000"/>
    <n v="0.05"/>
    <n v="95760"/>
    <n v="28000"/>
    <s v="No"/>
    <s v="Fatima"/>
    <n v="119700"/>
    <n v="-23940"/>
    <n v="84000"/>
    <n v="35700"/>
    <n v="13"/>
    <b v="0"/>
  </r>
  <r>
    <n v="100404"/>
    <d v="2026-05-22T00:00:00"/>
    <s v="KN-01"/>
    <s v="Kano"/>
    <s v="Online"/>
    <x v="0"/>
    <s v="Blender"/>
    <s v="C1123"/>
    <s v="Returning"/>
    <n v="1"/>
    <n v="42000"/>
    <n v="0"/>
    <n v="42000"/>
    <n v="28000"/>
    <s v="No"/>
    <s v="Fatima"/>
    <n v="42000"/>
    <n v="0"/>
    <n v="28000"/>
    <n v="14000"/>
    <n v="4"/>
    <b v="0"/>
  </r>
  <r>
    <n v="100405"/>
    <d v="2026-05-10T00:00:00"/>
    <s v="PH-01"/>
    <s v="Port Harcourt"/>
    <s v="Online"/>
    <x v="0"/>
    <s v="Blender"/>
    <s v="C1182"/>
    <s v="New"/>
    <n v="3"/>
    <n v="42000"/>
    <n v="0"/>
    <n v="126000"/>
    <n v="28000"/>
    <s v="Yes"/>
    <s v="Grace"/>
    <n v="126000"/>
    <n v="0"/>
    <n v="84000"/>
    <n v="42000"/>
    <n v="13"/>
    <b v="0"/>
  </r>
  <r>
    <n v="100406"/>
    <d v="2026-07-11T00:00:00"/>
    <s v="AB-02"/>
    <s v="Abuja"/>
    <s v="Online"/>
    <x v="1"/>
    <s v="Power Bank"/>
    <s v="C1162"/>
    <s v="New"/>
    <n v="1"/>
    <n v="26000"/>
    <n v="0"/>
    <n v="26000"/>
    <n v="15000"/>
    <s v="No"/>
    <s v="Ibrahim"/>
    <n v="26000"/>
    <n v="0"/>
    <n v="15000"/>
    <n v="11000"/>
    <n v="5"/>
    <b v="0"/>
  </r>
  <r>
    <n v="100407"/>
    <d v="2026-07-19T00:00:00"/>
    <s v="LG-02"/>
    <s v="Lagos"/>
    <s v="In-store"/>
    <x v="1"/>
    <s v="Earbuds"/>
    <s v="C1116"/>
    <s v="Returning"/>
    <n v="2"/>
    <n v="32000"/>
    <n v="0.1"/>
    <n v="57600"/>
    <n v="19000"/>
    <s v="No"/>
    <s v="Kemi"/>
    <n v="57600"/>
    <n v="0"/>
    <n v="38000"/>
    <n v="19600"/>
    <n v="5"/>
    <b v="0"/>
  </r>
  <r>
    <n v="100408"/>
    <d v="2026-04-27T00:00:00"/>
    <s v="KN-01"/>
    <s v="Kano"/>
    <s v="Online"/>
    <x v="1"/>
    <s v="Smartphone"/>
    <s v="C1001"/>
    <s v="Returning"/>
    <n v="1"/>
    <n v="165000"/>
    <n v="0.15"/>
    <n v="140250"/>
    <n v="112000"/>
    <s v="No"/>
    <s v="Kemi"/>
    <n v="140250"/>
    <n v="0"/>
    <n v="112000"/>
    <n v="28250"/>
    <n v="4"/>
    <b v="0"/>
  </r>
  <r>
    <n v="100409"/>
    <d v="2026-06-07T00:00:00"/>
    <s v="KN-01"/>
    <s v="Kano"/>
    <s v="Online"/>
    <x v="2"/>
    <s v="USB Cable"/>
    <s v="C1081"/>
    <s v="Returning"/>
    <n v="2"/>
    <n v="6500"/>
    <n v="0.1"/>
    <n v="11700"/>
    <n v="2200"/>
    <s v="No"/>
    <s v="Bola"/>
    <n v="11700"/>
    <n v="0"/>
    <n v="4400"/>
    <n v="7300"/>
    <n v="4"/>
    <b v="0"/>
  </r>
  <r>
    <n v="100410"/>
    <d v="2026-04-25T00:00:00"/>
    <s v="PH-01"/>
    <s v="Port Harcourt"/>
    <s v="WhatsApp"/>
    <x v="1"/>
    <s v="Earbuds"/>
    <s v="C1104"/>
    <s v="Returning"/>
    <n v="1"/>
    <n v="32000"/>
    <n v="0.15"/>
    <n v="27200"/>
    <n v="19000"/>
    <s v="No"/>
    <s v="Grace"/>
    <n v="27200"/>
    <n v="0"/>
    <n v="19000"/>
    <n v="8200"/>
    <n v="13"/>
    <b v="0"/>
  </r>
  <r>
    <n v="100411"/>
    <d v="2026-02-27T00:00:00"/>
    <s v="AB-01"/>
    <s v="Abuja"/>
    <s v="Online"/>
    <x v="0"/>
    <s v="Standing Fan"/>
    <s v="C1154"/>
    <s v="Returning"/>
    <n v="2"/>
    <n v="58000"/>
    <n v="0.2"/>
    <n v="92800"/>
    <n v="39000"/>
    <s v="Yes"/>
    <s v="Kemi"/>
    <n v="92800"/>
    <n v="0"/>
    <n v="78000"/>
    <n v="14800"/>
    <n v="5"/>
    <b v="0"/>
  </r>
  <r>
    <n v="100412"/>
    <d v="2026-06-21T00:00:00"/>
    <s v="IB-01"/>
    <s v="Ibadan"/>
    <s v="Online"/>
    <x v="1"/>
    <s v="Smartphone"/>
    <s v="C1164"/>
    <s v="Returning"/>
    <n v="5"/>
    <n v="165000"/>
    <n v="0.1"/>
    <n v="742500"/>
    <n v="112000"/>
    <s v="No"/>
    <s v="Aisha"/>
    <n v="742500"/>
    <n v="0"/>
    <n v="560000"/>
    <n v="182500"/>
    <n v="6"/>
    <b v="0"/>
  </r>
  <r>
    <n v="100413"/>
    <d v="2026-06-04T00:00:00"/>
    <s v="PH-01"/>
    <s v="Port Harcourt"/>
    <s v="In-store"/>
    <x v="0"/>
    <s v="Standing Fan"/>
    <s v="C1113"/>
    <s v="New"/>
    <n v="2"/>
    <n v="58000"/>
    <n v="0"/>
    <n v="116000"/>
    <n v="39000"/>
    <s v="No"/>
    <s v="Chinedu"/>
    <n v="116000"/>
    <n v="0"/>
    <n v="78000"/>
    <n v="38000"/>
    <n v="13"/>
    <b v="0"/>
  </r>
  <r>
    <n v="100414"/>
    <d v="2026-03-15T00:00:00"/>
    <s v="IB-01"/>
    <s v="Ibadan"/>
    <s v="In-store"/>
    <x v="0"/>
    <s v="Blender"/>
    <s v="C1061"/>
    <s v="Returning"/>
    <n v="1"/>
    <n v="42000"/>
    <n v="0.1"/>
    <n v="37800"/>
    <n v="28000"/>
    <s v="No"/>
    <s v="Aisha"/>
    <n v="37800"/>
    <n v="0"/>
    <n v="28000"/>
    <n v="9800"/>
    <n v="6"/>
    <b v="0"/>
  </r>
  <r>
    <n v="100415"/>
    <d v="2026-04-07T00:00:00"/>
    <s v="LG-01"/>
    <s v="Lagos"/>
    <s v="In-store"/>
    <x v="2"/>
    <s v="USB Cable"/>
    <s v="C1018"/>
    <s v="Returning"/>
    <n v="2"/>
    <n v="6500"/>
    <n v="0.05"/>
    <n v="12350"/>
    <n v="2200"/>
    <s v="No"/>
    <s v="Bola"/>
    <n v="12350"/>
    <n v="0"/>
    <n v="4400"/>
    <n v="7950"/>
    <n v="5"/>
    <b v="0"/>
  </r>
  <r>
    <n v="100416"/>
    <d v="2026-01-06T00:00:00"/>
    <s v="PH-01"/>
    <s v="Port Harcourt"/>
    <s v="WhatsApp"/>
    <x v="1"/>
    <s v="Power Bank"/>
    <s v="C1012"/>
    <s v="New"/>
    <n v="4"/>
    <n v="26000"/>
    <n v="0"/>
    <n v="104000"/>
    <n v="15000"/>
    <s v="Yes"/>
    <s v="David"/>
    <n v="104000"/>
    <n v="0"/>
    <n v="60000"/>
    <n v="44000"/>
    <n v="13"/>
    <b v="0"/>
  </r>
  <r>
    <n v="100417"/>
    <d v="2026-02-13T00:00:00"/>
    <s v="PH-01"/>
    <s v="Port Harcourt"/>
    <s v="Online"/>
    <x v="1"/>
    <s v="Smartphone"/>
    <s v="C1027"/>
    <s v="Returning"/>
    <n v="4"/>
    <n v="165000"/>
    <n v="0.1"/>
    <n v="594000"/>
    <n v="112000"/>
    <s v="No"/>
    <s v="Bola"/>
    <n v="594000"/>
    <n v="0"/>
    <n v="448000"/>
    <n v="146000"/>
    <n v="13"/>
    <b v="0"/>
  </r>
  <r>
    <n v="100418"/>
    <d v="2026-07-11T00:00:00"/>
    <s v="PH-01"/>
    <s v="Port Harcourt"/>
    <s v="In-store"/>
    <x v="1"/>
    <s v="Power Bank"/>
    <s v="C1088"/>
    <s v="Returning"/>
    <n v="3"/>
    <n v="26000"/>
    <n v="0"/>
    <n v="78000"/>
    <n v="15000"/>
    <s v="No"/>
    <s v="Chinedu"/>
    <n v="78000"/>
    <n v="0"/>
    <n v="45000"/>
    <n v="33000"/>
    <n v="13"/>
    <b v="0"/>
  </r>
  <r>
    <n v="100419"/>
    <d v="2026-08-22T00:00:00"/>
    <s v="PH-01"/>
    <s v="Port Harcourt"/>
    <s v="In-store"/>
    <x v="0"/>
    <s v="Standing Fan"/>
    <s v="C1006"/>
    <s v="Returning"/>
    <n v="4"/>
    <n v="58000"/>
    <n v="0.05"/>
    <n v="220400"/>
    <n v="39000"/>
    <s v="No"/>
    <s v="Ibrahim"/>
    <n v="220400"/>
    <n v="0"/>
    <n v="156000"/>
    <n v="64400"/>
    <n v="13"/>
    <b v="0"/>
  </r>
  <r>
    <n v="100420"/>
    <d v="2026-02-26T00:00:00"/>
    <s v="KN-01"/>
    <s v="Kano"/>
    <s v="WhatsApp"/>
    <x v="1"/>
    <s v="Smartphone"/>
    <s v="C1089"/>
    <s v="Returning"/>
    <n v="2"/>
    <n v="165000"/>
    <n v="0.05"/>
    <n v="313500"/>
    <n v="112000"/>
    <s v="No"/>
    <s v="Ibrahim"/>
    <n v="313500"/>
    <n v="0"/>
    <n v="224000"/>
    <n v="89500"/>
    <n v="4"/>
    <b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n v="100001"/>
    <x v="0"/>
    <s v="AB-02"/>
    <s v="Abuja"/>
    <x v="0"/>
    <s v="Home"/>
    <s v="Standing Fan"/>
    <s v="C1141"/>
    <s v="New"/>
    <n v="1"/>
    <n v="58000"/>
    <x v="0"/>
    <n v="58000"/>
    <n v="39000"/>
    <x v="0"/>
    <s v="Chinedu"/>
    <n v="58000"/>
    <n v="0"/>
    <n v="39000"/>
    <n v="19000"/>
    <n v="5"/>
    <b v="0"/>
    <n v="4"/>
    <b v="0"/>
  </r>
  <r>
    <n v="100002"/>
    <x v="1"/>
    <s v="LG-01"/>
    <s v="Lagos"/>
    <x v="0"/>
    <s v="Electronics"/>
    <s v="Smartphone"/>
    <s v="C1083"/>
    <s v="Returning"/>
    <n v="5"/>
    <n v="165000"/>
    <x v="1"/>
    <n v="627000"/>
    <n v="112000"/>
    <x v="0"/>
    <s v="Kemi"/>
    <n v="783750"/>
    <n v="-156750"/>
    <n v="560000"/>
    <n v="223750"/>
    <n v="5"/>
    <b v="0"/>
    <n v="11"/>
    <b v="0"/>
  </r>
  <r>
    <n v="100003"/>
    <x v="2"/>
    <s v="AB-01"/>
    <s v="Abuja"/>
    <x v="0"/>
    <s v="Electronics"/>
    <s v="Earbuds"/>
    <s v="C1029"/>
    <s v="Returning"/>
    <n v="3"/>
    <n v="32000"/>
    <x v="2"/>
    <n v="76800"/>
    <n v="19000"/>
    <x v="0"/>
    <s v="Chinedu"/>
    <n v="76800"/>
    <n v="0"/>
    <n v="57000"/>
    <n v="19800"/>
    <n v="5"/>
    <b v="0"/>
    <n v="11"/>
    <b v="0"/>
  </r>
  <r>
    <n v="100004"/>
    <x v="3"/>
    <s v="KN-01"/>
    <s v="Kano"/>
    <x v="1"/>
    <s v="Electronics"/>
    <s v="Power Bank"/>
    <s v="C1082"/>
    <s v="Returning"/>
    <n v="4"/>
    <n v="26000"/>
    <x v="0"/>
    <n v="104000"/>
    <n v="15000"/>
    <x v="0"/>
    <s v="Grace"/>
    <n v="104000"/>
    <n v="0"/>
    <n v="60000"/>
    <n v="44000"/>
    <n v="4"/>
    <b v="0"/>
    <n v="11"/>
    <b v="0"/>
  </r>
  <r>
    <n v="100005"/>
    <x v="4"/>
    <s v="LG-01"/>
    <s v="Lagos"/>
    <x v="1"/>
    <s v="Electronics"/>
    <s v="Smartphone"/>
    <s v="C1180"/>
    <s v="Returning"/>
    <n v="1"/>
    <n v="165000"/>
    <x v="1"/>
    <n v="156750"/>
    <n v="112000"/>
    <x v="0"/>
    <s v="Chinedu"/>
    <n v="156750"/>
    <n v="0"/>
    <n v="112000"/>
    <n v="44750"/>
    <n v="5"/>
    <b v="0"/>
    <n v="11"/>
    <b v="0"/>
  </r>
  <r>
    <n v="100006"/>
    <x v="5"/>
    <s v="LG-02"/>
    <s v="Lagos"/>
    <x v="2"/>
    <s v="Accessories"/>
    <s v="USB Cable"/>
    <s v="C1161"/>
    <s v="Returning"/>
    <n v="3"/>
    <n v="6500"/>
    <x v="3"/>
    <n v="17550"/>
    <n v="2200"/>
    <x v="0"/>
    <s v="Bola"/>
    <n v="17550"/>
    <n v="0"/>
    <n v="6600"/>
    <n v="10950"/>
    <n v="5"/>
    <b v="0"/>
    <n v="11"/>
    <b v="0"/>
  </r>
  <r>
    <n v="100007"/>
    <x v="6"/>
    <s v="LG-01"/>
    <s v="Lagos"/>
    <x v="2"/>
    <s v="Electronics"/>
    <s v="Power Bank"/>
    <s v="C1007"/>
    <s v="New"/>
    <n v="3"/>
    <n v="26000"/>
    <x v="3"/>
    <n v="70200"/>
    <n v="15000"/>
    <x v="0"/>
    <s v="Chinedu"/>
    <n v="70200"/>
    <n v="0"/>
    <n v="45000"/>
    <n v="25200"/>
    <n v="5"/>
    <b v="0"/>
    <n v="11"/>
    <b v="0"/>
  </r>
  <r>
    <n v="100008"/>
    <x v="7"/>
    <s v="KN-01"/>
    <s v="Kano"/>
    <x v="1"/>
    <s v="Electronics"/>
    <s v="Smartphone"/>
    <s v="C1051"/>
    <s v="Returning"/>
    <n v="5"/>
    <n v="165000"/>
    <x v="1"/>
    <n v="783750"/>
    <n v="112000"/>
    <x v="0"/>
    <s v="Kemi"/>
    <n v="783750"/>
    <n v="0"/>
    <n v="560000"/>
    <n v="223750"/>
    <n v="4"/>
    <b v="0"/>
    <n v="11"/>
    <b v="0"/>
  </r>
  <r>
    <n v="100009"/>
    <x v="8"/>
    <s v="IB-01"/>
    <s v="Ibadan"/>
    <x v="2"/>
    <s v="Home"/>
    <s v="Blender"/>
    <s v="C1111"/>
    <s v="Returning"/>
    <n v="3"/>
    <n v="42000"/>
    <x v="4"/>
    <n v="107100"/>
    <n v="28000"/>
    <x v="0"/>
    <s v="Fatima"/>
    <n v="107100"/>
    <n v="0"/>
    <n v="84000"/>
    <n v="23100"/>
    <n v="6"/>
    <b v="0"/>
    <n v="4"/>
    <b v="0"/>
  </r>
  <r>
    <n v="100010"/>
    <x v="9"/>
    <s v="PH-01"/>
    <s v="Port Harcourt"/>
    <x v="2"/>
    <s v="Electronics"/>
    <s v="Smartphone"/>
    <s v="C1153"/>
    <s v="Returning"/>
    <n v="1"/>
    <n v="165000"/>
    <x v="0"/>
    <n v="165000"/>
    <n v="112000"/>
    <x v="0"/>
    <s v="David"/>
    <n v="165000"/>
    <n v="0"/>
    <n v="112000"/>
    <n v="53000"/>
    <n v="13"/>
    <b v="0"/>
    <n v="11"/>
    <b v="0"/>
  </r>
  <r>
    <n v="100011"/>
    <x v="10"/>
    <s v="LG-01"/>
    <s v="Lagos"/>
    <x v="2"/>
    <s v="Electronics"/>
    <s v="Earbuds"/>
    <s v="C1059"/>
    <s v="Returning"/>
    <n v="1"/>
    <n v="32000"/>
    <x v="0"/>
    <n v="32000"/>
    <n v="19000"/>
    <x v="0"/>
    <s v="David"/>
    <n v="32000"/>
    <n v="0"/>
    <n v="19000"/>
    <n v="13000"/>
    <n v="5"/>
    <b v="0"/>
    <n v="11"/>
    <b v="0"/>
  </r>
  <r>
    <n v="100012"/>
    <x v="11"/>
    <s v="KN-01"/>
    <s v="Kano"/>
    <x v="1"/>
    <s v="Accessories"/>
    <s v="Phone Case"/>
    <s v="C1028"/>
    <s v="New"/>
    <n v="1"/>
    <n v="9000"/>
    <x v="0"/>
    <n v="9000"/>
    <n v="3500"/>
    <x v="0"/>
    <s v="David"/>
    <n v="9000"/>
    <n v="0"/>
    <n v="3500"/>
    <n v="5500"/>
    <n v="4"/>
    <b v="0"/>
    <n v="11"/>
    <b v="0"/>
  </r>
  <r>
    <n v="100013"/>
    <x v="12"/>
    <s v="IB-01"/>
    <s v="Ibadan"/>
    <x v="2"/>
    <s v="Home"/>
    <s v="Electric Kettle"/>
    <s v="C1192"/>
    <s v="New"/>
    <n v="2"/>
    <n v="24000"/>
    <x v="0"/>
    <n v="48000"/>
    <n v="15000"/>
    <x v="0"/>
    <s v="Ibrahim"/>
    <n v="48000"/>
    <n v="0"/>
    <n v="30000"/>
    <n v="18000"/>
    <n v="6"/>
    <b v="0"/>
    <n v="4"/>
    <b v="0"/>
  </r>
  <r>
    <n v="100014"/>
    <x v="13"/>
    <s v="AB-02"/>
    <s v="Abuja"/>
    <x v="0"/>
    <s v="Accessories"/>
    <s v="Backpack"/>
    <s v="C1022"/>
    <s v="Returning"/>
    <n v="2"/>
    <n v="28000"/>
    <x v="5"/>
    <n v="42000"/>
    <n v="16000"/>
    <x v="0"/>
    <s v="Fatima"/>
    <n v="42000"/>
    <n v="0"/>
    <n v="32000"/>
    <n v="10000"/>
    <n v="5"/>
    <b v="0"/>
    <n v="11"/>
    <b v="0"/>
  </r>
  <r>
    <n v="100015"/>
    <x v="14"/>
    <s v="PH-01"/>
    <s v="Port Harcourt"/>
    <x v="2"/>
    <s v="Electronics"/>
    <s v="Smartphone"/>
    <s v="C1084"/>
    <s v="New"/>
    <n v="2"/>
    <n v="165000"/>
    <x v="0"/>
    <n v="330000"/>
    <n v="112000"/>
    <x v="0"/>
    <s v="Grace"/>
    <n v="330000"/>
    <n v="0"/>
    <n v="224000"/>
    <n v="106000"/>
    <n v="13"/>
    <b v="0"/>
    <n v="11"/>
    <b v="0"/>
  </r>
  <r>
    <n v="100016"/>
    <x v="15"/>
    <s v="LG-02"/>
    <s v="Lagos"/>
    <x v="1"/>
    <s v="Accessories"/>
    <s v="USB Cable"/>
    <s v="C1123"/>
    <s v="New"/>
    <n v="1"/>
    <n v="6500"/>
    <x v="3"/>
    <n v="4680"/>
    <n v="2200"/>
    <x v="0"/>
    <s v="Kemi"/>
    <n v="5850"/>
    <n v="-1170"/>
    <n v="2200"/>
    <n v="3650"/>
    <n v="5"/>
    <b v="0"/>
    <n v="11"/>
    <b v="0"/>
  </r>
  <r>
    <n v="100017"/>
    <x v="16"/>
    <s v="KN-01"/>
    <s v="Kano"/>
    <x v="0"/>
    <s v="Home"/>
    <s v="Blender"/>
    <s v="C1134"/>
    <s v="New"/>
    <n v="2"/>
    <n v="42000"/>
    <x v="0"/>
    <n v="84000"/>
    <n v="28000"/>
    <x v="0"/>
    <s v="Ibrahim"/>
    <n v="84000"/>
    <n v="0"/>
    <n v="56000"/>
    <n v="28000"/>
    <n v="4"/>
    <b v="0"/>
    <n v="4"/>
    <b v="0"/>
  </r>
  <r>
    <n v="100018"/>
    <x v="17"/>
    <s v="PH-01"/>
    <s v="Port Harcourt"/>
    <x v="2"/>
    <s v="Accessories"/>
    <s v="USB Cable"/>
    <s v="C1100"/>
    <s v="Returning"/>
    <n v="22"/>
    <n v="6500"/>
    <x v="4"/>
    <n v="121550"/>
    <n v="2200"/>
    <x v="0"/>
    <s v="Kemi"/>
    <n v="121550"/>
    <n v="0"/>
    <n v="48400"/>
    <n v="73150"/>
    <n v="13"/>
    <b v="0"/>
    <n v="11"/>
    <b v="0"/>
  </r>
  <r>
    <n v="100019"/>
    <x v="18"/>
    <s v="LG-01"/>
    <s v="Lagos"/>
    <x v="2"/>
    <s v="Electronics"/>
    <s v="Power Bank"/>
    <s v="C1189"/>
    <s v="Returning"/>
    <n v="1"/>
    <n v="26000"/>
    <x v="4"/>
    <n v="22100"/>
    <n v="15000"/>
    <x v="0"/>
    <s v="Bola"/>
    <n v="22100"/>
    <n v="0"/>
    <n v="15000"/>
    <n v="7100"/>
    <n v="5"/>
    <b v="0"/>
    <n v="11"/>
    <b v="0"/>
  </r>
  <r>
    <n v="100020"/>
    <x v="19"/>
    <s v="AB-02"/>
    <s v="Abuja"/>
    <x v="2"/>
    <s v="Electronics"/>
    <s v="Power Bank"/>
    <s v="C1050"/>
    <s v="Returning"/>
    <n v="1"/>
    <n v="26000"/>
    <x v="5"/>
    <n v="19500"/>
    <n v="15000"/>
    <x v="0"/>
    <s v="Ibrahim"/>
    <n v="19500"/>
    <n v="0"/>
    <n v="15000"/>
    <n v="4500"/>
    <n v="5"/>
    <b v="0"/>
    <n v="11"/>
    <b v="0"/>
  </r>
  <r>
    <n v="100021"/>
    <x v="18"/>
    <s v="AB-02"/>
    <s v="Abuja"/>
    <x v="0"/>
    <s v="Electronics"/>
    <s v="Power Bank"/>
    <s v="C1184"/>
    <s v="New"/>
    <n v="1"/>
    <n v="26000"/>
    <x v="0"/>
    <n v="26000"/>
    <n v="15000"/>
    <x v="0"/>
    <s v="Kemi"/>
    <n v="26000"/>
    <n v="0"/>
    <n v="15000"/>
    <n v="11000"/>
    <n v="5"/>
    <b v="0"/>
    <n v="11"/>
    <b v="0"/>
  </r>
  <r>
    <n v="100022"/>
    <x v="20"/>
    <s v="IB-01"/>
    <s v="Ibadan"/>
    <x v="0"/>
    <s v="Accessories"/>
    <s v="Backpack"/>
    <s v="C1022"/>
    <s v="New"/>
    <n v="1"/>
    <n v="28000"/>
    <x v="1"/>
    <n v="26600"/>
    <n v="16000"/>
    <x v="0"/>
    <s v="Bola"/>
    <n v="26600"/>
    <n v="0"/>
    <n v="16000"/>
    <n v="10600"/>
    <n v="6"/>
    <b v="0"/>
    <n v="11"/>
    <b v="0"/>
  </r>
  <r>
    <n v="100023"/>
    <x v="21"/>
    <s v="AB-01"/>
    <s v="Abuja"/>
    <x v="1"/>
    <s v="Electronics"/>
    <s v="Earbuds"/>
    <s v="C1004"/>
    <s v="Returning"/>
    <n v="1"/>
    <n v="32000"/>
    <x v="4"/>
    <n v="27200"/>
    <n v="19000"/>
    <x v="0"/>
    <s v="David"/>
    <n v="27200"/>
    <n v="0"/>
    <n v="19000"/>
    <n v="8200"/>
    <n v="5"/>
    <b v="0"/>
    <n v="11"/>
    <b v="0"/>
  </r>
  <r>
    <n v="100024"/>
    <x v="22"/>
    <s v="AB-01"/>
    <s v="Abuja"/>
    <x v="2"/>
    <s v="Home"/>
    <s v="Standing Fan"/>
    <s v="C1034"/>
    <s v="New"/>
    <n v="2"/>
    <n v="58000"/>
    <x v="2"/>
    <n v="92800"/>
    <n v="39000"/>
    <x v="1"/>
    <s v="Grace"/>
    <n v="92800"/>
    <n v="0"/>
    <n v="78000"/>
    <n v="14800"/>
    <n v="5"/>
    <b v="0"/>
    <n v="4"/>
    <b v="0"/>
  </r>
  <r>
    <n v="100025"/>
    <x v="23"/>
    <s v="KN-01"/>
    <s v="Kano"/>
    <x v="2"/>
    <s v="Home"/>
    <s v="Standing Fan"/>
    <s v="C1164"/>
    <s v="Returning"/>
    <n v="5"/>
    <n v="58000"/>
    <x v="1"/>
    <n v="275500"/>
    <n v="39000"/>
    <x v="0"/>
    <s v="David"/>
    <n v="275500"/>
    <n v="0"/>
    <n v="195000"/>
    <n v="80500"/>
    <n v="4"/>
    <b v="0"/>
    <n v="4"/>
    <b v="0"/>
  </r>
  <r>
    <n v="100026"/>
    <x v="24"/>
    <s v="IB-01"/>
    <s v="Ibadan"/>
    <x v="2"/>
    <s v="Accessories"/>
    <s v="Phone Case"/>
    <s v="C1155"/>
    <s v="Returning"/>
    <n v="2"/>
    <n v="9000"/>
    <x v="3"/>
    <n v="16200"/>
    <n v="3500"/>
    <x v="0"/>
    <s v="Chinedu"/>
    <n v="16200"/>
    <n v="0"/>
    <n v="7000"/>
    <n v="9200"/>
    <n v="6"/>
    <b v="0"/>
    <n v="11"/>
    <b v="0"/>
  </r>
  <r>
    <n v="100027"/>
    <x v="25"/>
    <s v="KN-01"/>
    <s v="Kano"/>
    <x v="0"/>
    <s v="Home"/>
    <s v="Standing Fan"/>
    <s v="C1073"/>
    <s v="New"/>
    <n v="4"/>
    <n v="58000"/>
    <x v="1"/>
    <n v="220400"/>
    <n v="39000"/>
    <x v="0"/>
    <s v="David"/>
    <n v="220400"/>
    <n v="0"/>
    <n v="156000"/>
    <n v="64400"/>
    <n v="4"/>
    <b v="0"/>
    <n v="4"/>
    <b v="0"/>
  </r>
  <r>
    <n v="100028"/>
    <x v="26"/>
    <s v="AB-01"/>
    <s v="Abuja"/>
    <x v="1"/>
    <s v="Electronics"/>
    <s v="Power Bank"/>
    <s v="C1136"/>
    <s v="Returning"/>
    <n v="22"/>
    <n v="26000"/>
    <x v="5"/>
    <n v="429000"/>
    <n v="15000"/>
    <x v="0"/>
    <s v="Bola"/>
    <n v="429000"/>
    <n v="0"/>
    <n v="330000"/>
    <n v="99000"/>
    <n v="5"/>
    <b v="0"/>
    <n v="11"/>
    <b v="0"/>
  </r>
  <r>
    <n v="100029"/>
    <x v="27"/>
    <s v="AB-01"/>
    <s v="Abuja"/>
    <x v="2"/>
    <s v="Home"/>
    <s v="Standing Fan"/>
    <s v="C1173"/>
    <s v="Returning"/>
    <n v="5"/>
    <n v="58000"/>
    <x v="3"/>
    <n v="261000"/>
    <n v="39000"/>
    <x v="0"/>
    <s v="Chinedu"/>
    <n v="261000"/>
    <n v="0"/>
    <n v="195000"/>
    <n v="66000"/>
    <n v="5"/>
    <b v="0"/>
    <n v="4"/>
    <b v="0"/>
  </r>
  <r>
    <n v="100030"/>
    <x v="28"/>
    <s v="KN-01"/>
    <s v="Kano"/>
    <x v="1"/>
    <s v="Electronics"/>
    <s v="Power Bank"/>
    <s v="C1071"/>
    <s v="New"/>
    <n v="1"/>
    <n v="26000"/>
    <x v="1"/>
    <n v="24700"/>
    <n v="15000"/>
    <x v="0"/>
    <s v="David"/>
    <n v="24700"/>
    <n v="0"/>
    <n v="15000"/>
    <n v="9700"/>
    <n v="4"/>
    <b v="0"/>
    <n v="11"/>
    <b v="0"/>
  </r>
  <r>
    <n v="100031"/>
    <x v="3"/>
    <s v="AB-01"/>
    <s v="Abuja"/>
    <x v="2"/>
    <s v="Home"/>
    <s v="Standing Fan"/>
    <s v="C1047"/>
    <s v="New"/>
    <n v="2"/>
    <n v="58000"/>
    <x v="4"/>
    <n v="98600"/>
    <n v="39000"/>
    <x v="0"/>
    <s v="Aisha"/>
    <n v="98600"/>
    <n v="0"/>
    <n v="78000"/>
    <n v="20600"/>
    <n v="5"/>
    <b v="0"/>
    <n v="4"/>
    <b v="0"/>
  </r>
  <r>
    <n v="100032"/>
    <x v="29"/>
    <s v="PH-01"/>
    <s v="Port Harcourt"/>
    <x v="1"/>
    <s v="Home"/>
    <s v="Electric Kettle"/>
    <s v="C1051"/>
    <s v="New"/>
    <n v="1"/>
    <n v="24000"/>
    <x v="1"/>
    <n v="22800"/>
    <n v="15000"/>
    <x v="0"/>
    <s v="Kemi"/>
    <n v="22800"/>
    <n v="0"/>
    <n v="15000"/>
    <n v="7800"/>
    <n v="13"/>
    <b v="0"/>
    <n v="4"/>
    <b v="0"/>
  </r>
  <r>
    <n v="100033"/>
    <x v="30"/>
    <s v="LG-01"/>
    <s v="Lagos"/>
    <x v="2"/>
    <s v="Home"/>
    <s v="Standing Fan"/>
    <s v="C1094"/>
    <s v="New"/>
    <n v="3"/>
    <n v="58000"/>
    <x v="0"/>
    <n v="174000"/>
    <n v="39000"/>
    <x v="0"/>
    <s v="Aisha"/>
    <n v="174000"/>
    <n v="0"/>
    <n v="117000"/>
    <n v="57000"/>
    <n v="5"/>
    <b v="0"/>
    <n v="4"/>
    <b v="0"/>
  </r>
  <r>
    <n v="100034"/>
    <x v="31"/>
    <s v="PH-01"/>
    <s v="Port Harcourt"/>
    <x v="2"/>
    <s v="Home"/>
    <s v="Standing Fan"/>
    <s v="C1089"/>
    <s v="Returning"/>
    <n v="1"/>
    <n v="58000"/>
    <x v="4"/>
    <n v="49300"/>
    <n v="39000"/>
    <x v="0"/>
    <s v="Bola"/>
    <n v="49300"/>
    <n v="0"/>
    <n v="39000"/>
    <n v="10300"/>
    <n v="13"/>
    <b v="0"/>
    <n v="4"/>
    <b v="0"/>
  </r>
  <r>
    <n v="100035"/>
    <x v="32"/>
    <s v="KN-01"/>
    <s v="Kano"/>
    <x v="2"/>
    <s v="Accessories"/>
    <s v="Backpack"/>
    <s v="C1048"/>
    <s v="Returning"/>
    <n v="25"/>
    <n v="28000"/>
    <x v="1"/>
    <n v="665000"/>
    <n v="16000"/>
    <x v="0"/>
    <s v="Ibrahim"/>
    <n v="665000"/>
    <n v="0"/>
    <n v="400000"/>
    <n v="265000"/>
    <n v="4"/>
    <b v="0"/>
    <n v="11"/>
    <b v="0"/>
  </r>
  <r>
    <n v="100036"/>
    <x v="32"/>
    <s v="KN-01"/>
    <s v="Kano"/>
    <x v="2"/>
    <s v="Electronics"/>
    <s v="Earbuds"/>
    <s v="C1056"/>
    <s v="New"/>
    <n v="2"/>
    <n v="32000"/>
    <x v="1"/>
    <n v="60800"/>
    <n v="19000"/>
    <x v="1"/>
    <s v="Bola"/>
    <n v="60800"/>
    <n v="0"/>
    <n v="38000"/>
    <n v="22800"/>
    <n v="4"/>
    <b v="0"/>
    <n v="11"/>
    <b v="0"/>
  </r>
  <r>
    <n v="100037"/>
    <x v="33"/>
    <s v="AB-01"/>
    <s v="Abuja"/>
    <x v="2"/>
    <s v="Accessories"/>
    <s v="Backpack"/>
    <s v="C1036"/>
    <s v="New"/>
    <n v="2"/>
    <n v="28000"/>
    <x v="0"/>
    <n v="56000"/>
    <n v="16000"/>
    <x v="0"/>
    <s v="Grace"/>
    <n v="56000"/>
    <n v="0"/>
    <n v="32000"/>
    <n v="24000"/>
    <n v="5"/>
    <b v="0"/>
    <n v="11"/>
    <b v="0"/>
  </r>
  <r>
    <n v="100038"/>
    <x v="34"/>
    <s v="KN-01"/>
    <s v="Kano"/>
    <x v="1"/>
    <s v="Electronics"/>
    <s v="Earbuds"/>
    <s v="C1138"/>
    <s v="Returning"/>
    <n v="2"/>
    <n v="32000"/>
    <x v="0"/>
    <n v="64000"/>
    <n v="19000"/>
    <x v="0"/>
    <s v="Aisha"/>
    <n v="64000"/>
    <n v="0"/>
    <n v="38000"/>
    <n v="26000"/>
    <n v="4"/>
    <b v="0"/>
    <n v="11"/>
    <b v="0"/>
  </r>
  <r>
    <n v="100039"/>
    <x v="35"/>
    <s v="AB-02"/>
    <s v="Abuja"/>
    <x v="1"/>
    <s v="Accessories"/>
    <s v="USB Cable"/>
    <s v="C1044"/>
    <s v="New"/>
    <n v="3"/>
    <n v="6500"/>
    <x v="3"/>
    <n v="17550"/>
    <n v="2200"/>
    <x v="0"/>
    <s v="Grace"/>
    <n v="17550"/>
    <n v="0"/>
    <n v="6600"/>
    <n v="10950"/>
    <n v="5"/>
    <b v="0"/>
    <n v="11"/>
    <b v="0"/>
  </r>
  <r>
    <n v="100040"/>
    <x v="36"/>
    <s v="AB-01"/>
    <s v="Abuja"/>
    <x v="0"/>
    <s v="Home"/>
    <s v="Standing Fan"/>
    <s v="C1063"/>
    <s v="Returning"/>
    <n v="1"/>
    <n v="58000"/>
    <x v="1"/>
    <n v="55100"/>
    <n v="39000"/>
    <x v="0"/>
    <s v="Kemi"/>
    <n v="55100"/>
    <n v="0"/>
    <n v="39000"/>
    <n v="16100"/>
    <n v="5"/>
    <b v="0"/>
    <n v="4"/>
    <b v="0"/>
  </r>
  <r>
    <n v="100041"/>
    <x v="37"/>
    <s v="PH-01"/>
    <s v="Port Harcourt"/>
    <x v="0"/>
    <s v="Electronics"/>
    <s v="Earbuds"/>
    <s v="C1001"/>
    <s v="Returning"/>
    <n v="3"/>
    <n v="32000"/>
    <x v="3"/>
    <n v="86400"/>
    <n v="19000"/>
    <x v="0"/>
    <s v="Bola"/>
    <n v="86400"/>
    <n v="0"/>
    <n v="57000"/>
    <n v="29400"/>
    <n v="13"/>
    <b v="0"/>
    <n v="11"/>
    <b v="0"/>
  </r>
  <r>
    <n v="100042"/>
    <x v="38"/>
    <s v="IB-01"/>
    <s v="Ibadan"/>
    <x v="0"/>
    <s v="Electronics"/>
    <s v="Smartphone"/>
    <s v="C1174"/>
    <s v="Returning"/>
    <n v="2"/>
    <n v="165000"/>
    <x v="0"/>
    <n v="330000"/>
    <n v="112000"/>
    <x v="0"/>
    <s v="Chinedu"/>
    <n v="330000"/>
    <n v="0"/>
    <n v="224000"/>
    <n v="106000"/>
    <n v="6"/>
    <b v="0"/>
    <n v="11"/>
    <b v="0"/>
  </r>
  <r>
    <n v="100043"/>
    <x v="39"/>
    <s v="IB-01"/>
    <s v="Ibadan"/>
    <x v="2"/>
    <s v="Home"/>
    <s v="Electric Kettle"/>
    <s v="C1169"/>
    <s v="Returning"/>
    <n v="2"/>
    <n v="24000"/>
    <x v="4"/>
    <n v="40800"/>
    <n v="15000"/>
    <x v="0"/>
    <s v="Bola"/>
    <n v="40800"/>
    <n v="0"/>
    <n v="30000"/>
    <n v="10800"/>
    <n v="6"/>
    <b v="0"/>
    <n v="4"/>
    <b v="0"/>
  </r>
  <r>
    <n v="100044"/>
    <x v="0"/>
    <s v="AB-01"/>
    <s v="Abuja"/>
    <x v="1"/>
    <s v="Home"/>
    <s v="Electric Kettle"/>
    <s v="C1081"/>
    <s v="Returning"/>
    <n v="1"/>
    <n v="24000"/>
    <x v="2"/>
    <n v="19200"/>
    <n v="15000"/>
    <x v="0"/>
    <s v="Fatima"/>
    <n v="19200"/>
    <n v="0"/>
    <n v="15000"/>
    <n v="4200"/>
    <n v="5"/>
    <b v="0"/>
    <n v="4"/>
    <b v="0"/>
  </r>
  <r>
    <n v="100045"/>
    <x v="40"/>
    <s v="LG-02"/>
    <s v="Lagos"/>
    <x v="1"/>
    <s v="Electronics"/>
    <s v="Earbuds"/>
    <s v="C1113"/>
    <s v="Returning"/>
    <n v="1"/>
    <n v="32000"/>
    <x v="0"/>
    <n v="32000"/>
    <n v="19000"/>
    <x v="1"/>
    <s v="Fatima"/>
    <n v="32000"/>
    <n v="0"/>
    <n v="19000"/>
    <n v="13000"/>
    <n v="5"/>
    <b v="0"/>
    <n v="11"/>
    <b v="0"/>
  </r>
  <r>
    <n v="100046"/>
    <x v="36"/>
    <s v="KN-01"/>
    <s v="Kano"/>
    <x v="2"/>
    <s v="Home"/>
    <s v="Electric Kettle"/>
    <s v="C1068"/>
    <s v="Returning"/>
    <n v="3"/>
    <n v="24000"/>
    <x v="1"/>
    <n v="68400"/>
    <n v="15000"/>
    <x v="0"/>
    <s v="Fatima"/>
    <n v="68400"/>
    <n v="0"/>
    <n v="45000"/>
    <n v="23400"/>
    <n v="4"/>
    <b v="0"/>
    <n v="4"/>
    <b v="0"/>
  </r>
  <r>
    <n v="100047"/>
    <x v="41"/>
    <s v="LG-01"/>
    <s v="Lagos"/>
    <x v="2"/>
    <s v="Home"/>
    <s v="Standing Fan"/>
    <s v="C1179"/>
    <s v="Returning"/>
    <n v="4"/>
    <n v="58000"/>
    <x v="0"/>
    <n v="232000"/>
    <n v="39000"/>
    <x v="0"/>
    <s v="Aisha"/>
    <n v="232000"/>
    <n v="0"/>
    <n v="156000"/>
    <n v="76000"/>
    <n v="5"/>
    <b v="0"/>
    <n v="4"/>
    <b v="0"/>
  </r>
  <r>
    <n v="100048"/>
    <x v="42"/>
    <s v="KN-01"/>
    <s v="Kano"/>
    <x v="2"/>
    <s v="Electronics"/>
    <s v="Power Bank"/>
    <s v="C1135"/>
    <s v="New"/>
    <n v="2"/>
    <n v="26000"/>
    <x v="1"/>
    <n v="49400"/>
    <n v="15000"/>
    <x v="0"/>
    <s v="Grace"/>
    <n v="49400"/>
    <n v="0"/>
    <n v="30000"/>
    <n v="19400"/>
    <n v="4"/>
    <b v="0"/>
    <n v="11"/>
    <b v="0"/>
  </r>
  <r>
    <n v="100049"/>
    <x v="3"/>
    <s v="IB-01"/>
    <s v="Ibadan"/>
    <x v="2"/>
    <s v="Accessories"/>
    <s v="USB Cable"/>
    <s v="C1094"/>
    <s v="New"/>
    <n v="5"/>
    <n v="6500"/>
    <x v="1"/>
    <n v="30875"/>
    <n v="2200"/>
    <x v="0"/>
    <s v="Aisha"/>
    <n v="30875"/>
    <n v="0"/>
    <n v="11000"/>
    <n v="19875"/>
    <n v="6"/>
    <b v="0"/>
    <n v="11"/>
    <b v="0"/>
  </r>
  <r>
    <n v="100050"/>
    <x v="43"/>
    <s v="KN-01"/>
    <s v="Kano"/>
    <x v="2"/>
    <s v="Accessories"/>
    <s v="Phone Case"/>
    <s v="C1080"/>
    <s v="Returning"/>
    <n v="3"/>
    <n v="9000"/>
    <x v="0"/>
    <n v="27000"/>
    <n v="3500"/>
    <x v="0"/>
    <s v="Chinedu"/>
    <n v="27000"/>
    <n v="0"/>
    <n v="10500"/>
    <n v="16500"/>
    <n v="4"/>
    <b v="0"/>
    <n v="11"/>
    <b v="0"/>
  </r>
  <r>
    <n v="100051"/>
    <x v="37"/>
    <s v="AB-02"/>
    <s v="Abuja"/>
    <x v="1"/>
    <s v="Home"/>
    <s v="Blender"/>
    <s v="C1111"/>
    <s v="New"/>
    <n v="2"/>
    <n v="42000"/>
    <x v="3"/>
    <n v="75600"/>
    <n v="28000"/>
    <x v="0"/>
    <s v="Chinedu"/>
    <n v="75600"/>
    <n v="0"/>
    <n v="56000"/>
    <n v="19600"/>
    <n v="5"/>
    <b v="0"/>
    <n v="4"/>
    <b v="0"/>
  </r>
  <r>
    <n v="100052"/>
    <x v="20"/>
    <s v="PH-01"/>
    <s v="Port Harcourt"/>
    <x v="0"/>
    <s v="Electronics"/>
    <s v="Smartphone"/>
    <s v="C1005"/>
    <s v="Returning"/>
    <n v="4"/>
    <n v="165000"/>
    <x v="0"/>
    <n v="660000"/>
    <n v="112000"/>
    <x v="0"/>
    <s v="Chinedu"/>
    <n v="660000"/>
    <n v="0"/>
    <n v="448000"/>
    <n v="212000"/>
    <n v="13"/>
    <b v="0"/>
    <n v="11"/>
    <b v="0"/>
  </r>
  <r>
    <n v="100053"/>
    <x v="44"/>
    <s v="KN-01"/>
    <s v="Kano"/>
    <x v="2"/>
    <s v="Accessories"/>
    <s v="USB Cable"/>
    <s v="C1193"/>
    <s v="Returning"/>
    <n v="4"/>
    <n v="6500"/>
    <x v="0"/>
    <n v="26000"/>
    <n v="2200"/>
    <x v="0"/>
    <s v="Ibrahim"/>
    <n v="26000"/>
    <n v="0"/>
    <n v="8800"/>
    <n v="17200"/>
    <n v="4"/>
    <b v="0"/>
    <n v="11"/>
    <b v="0"/>
  </r>
  <r>
    <n v="100054"/>
    <x v="45"/>
    <s v="AB-01"/>
    <s v="Abuja"/>
    <x v="2"/>
    <s v="Accessories"/>
    <s v="Phone Case"/>
    <s v="C1030"/>
    <s v="Returning"/>
    <n v="1"/>
    <n v="9000"/>
    <x v="3"/>
    <n v="8100"/>
    <n v="3500"/>
    <x v="0"/>
    <s v="Aisha"/>
    <n v="8100"/>
    <n v="0"/>
    <n v="3500"/>
    <n v="4600"/>
    <n v="5"/>
    <b v="0"/>
    <n v="11"/>
    <b v="0"/>
  </r>
  <r>
    <n v="100055"/>
    <x v="46"/>
    <s v="KN-01"/>
    <s v="Kano"/>
    <x v="2"/>
    <s v="Electronics"/>
    <s v="Power Bank"/>
    <s v="C1019"/>
    <s v="New"/>
    <n v="2"/>
    <n v="26000"/>
    <x v="4"/>
    <n v="44200"/>
    <n v="15000"/>
    <x v="0"/>
    <s v="Bola"/>
    <n v="44200"/>
    <n v="0"/>
    <n v="30000"/>
    <n v="14200"/>
    <n v="4"/>
    <b v="0"/>
    <n v="11"/>
    <b v="0"/>
  </r>
  <r>
    <n v="100056"/>
    <x v="47"/>
    <s v="KN-01"/>
    <s v="Kano"/>
    <x v="2"/>
    <s v="Accessories"/>
    <s v="Phone Case"/>
    <s v="C1187"/>
    <s v="New"/>
    <n v="1"/>
    <n v="9000"/>
    <x v="1"/>
    <n v="6840"/>
    <n v="3500"/>
    <x v="0"/>
    <s v="Bola"/>
    <n v="8550"/>
    <n v="-1710"/>
    <n v="3500"/>
    <n v="5050"/>
    <n v="4"/>
    <b v="0"/>
    <n v="11"/>
    <b v="0"/>
  </r>
  <r>
    <n v="100057"/>
    <x v="48"/>
    <s v="IB-01"/>
    <s v="Ibadan"/>
    <x v="1"/>
    <s v="Electronics"/>
    <s v="Power Bank"/>
    <s v="C1190"/>
    <s v="New"/>
    <n v="1"/>
    <n v="26000"/>
    <x v="4"/>
    <n v="22100"/>
    <n v="15000"/>
    <x v="0"/>
    <s v="Fatima"/>
    <n v="22100"/>
    <n v="0"/>
    <n v="15000"/>
    <n v="7100"/>
    <n v="6"/>
    <b v="0"/>
    <n v="11"/>
    <b v="0"/>
  </r>
  <r>
    <n v="100058"/>
    <x v="45"/>
    <s v="KN-01"/>
    <s v="Kano"/>
    <x v="2"/>
    <s v="Accessories"/>
    <s v="Backpack"/>
    <s v="C1069"/>
    <s v="Returning"/>
    <n v="2"/>
    <n v="28000"/>
    <x v="0"/>
    <n v="56000"/>
    <n v="16000"/>
    <x v="0"/>
    <s v="Aisha"/>
    <n v="56000"/>
    <n v="0"/>
    <n v="32000"/>
    <n v="24000"/>
    <n v="4"/>
    <b v="0"/>
    <n v="11"/>
    <b v="0"/>
  </r>
  <r>
    <n v="100059"/>
    <x v="42"/>
    <s v="LG-02"/>
    <s v="Lagos"/>
    <x v="1"/>
    <s v="Home"/>
    <s v="Blender"/>
    <s v="C1074"/>
    <s v="Returning"/>
    <n v="2"/>
    <n v="42000"/>
    <x v="3"/>
    <n v="75600"/>
    <n v="28000"/>
    <x v="0"/>
    <s v="Aisha"/>
    <n v="75600"/>
    <n v="0"/>
    <n v="56000"/>
    <n v="19600"/>
    <n v="5"/>
    <b v="0"/>
    <n v="4"/>
    <b v="0"/>
  </r>
  <r>
    <n v="100060"/>
    <x v="49"/>
    <s v="IB-01"/>
    <s v="Ibadan"/>
    <x v="1"/>
    <s v="Electronics"/>
    <s v="Earbuds"/>
    <s v="C1156"/>
    <s v="Returning"/>
    <n v="1"/>
    <n v="32000"/>
    <x v="3"/>
    <n v="28800"/>
    <n v="19000"/>
    <x v="0"/>
    <s v="Bola"/>
    <n v="28800"/>
    <n v="0"/>
    <n v="19000"/>
    <n v="9800"/>
    <n v="6"/>
    <b v="0"/>
    <n v="11"/>
    <b v="0"/>
  </r>
  <r>
    <n v="100061"/>
    <x v="50"/>
    <s v="LG-02"/>
    <s v="Lagos"/>
    <x v="2"/>
    <s v="Electronics"/>
    <s v="Earbuds"/>
    <s v="C1039"/>
    <s v="Returning"/>
    <n v="1"/>
    <n v="32000"/>
    <x v="4"/>
    <n v="27200"/>
    <n v="19000"/>
    <x v="0"/>
    <s v="Aisha"/>
    <n v="27200"/>
    <n v="0"/>
    <n v="19000"/>
    <n v="8200"/>
    <n v="5"/>
    <b v="0"/>
    <n v="11"/>
    <b v="0"/>
  </r>
  <r>
    <n v="100062"/>
    <x v="51"/>
    <s v="PH-01"/>
    <s v="Port Harcourt"/>
    <x v="1"/>
    <s v="Electronics"/>
    <s v="Smartphone"/>
    <s v="C1045"/>
    <s v="New"/>
    <n v="3"/>
    <n v="165000"/>
    <x v="0"/>
    <n v="495000"/>
    <n v="112000"/>
    <x v="0"/>
    <s v="Aisha"/>
    <n v="495000"/>
    <n v="0"/>
    <n v="336000"/>
    <n v="159000"/>
    <n v="13"/>
    <b v="0"/>
    <n v="11"/>
    <b v="0"/>
  </r>
  <r>
    <n v="100063"/>
    <x v="52"/>
    <s v="LG-02"/>
    <s v="Lagos"/>
    <x v="2"/>
    <s v="Home"/>
    <s v="Standing Fan"/>
    <s v="C1164"/>
    <s v="New"/>
    <n v="1"/>
    <n v="58000"/>
    <x v="0"/>
    <n v="58000"/>
    <n v="39000"/>
    <x v="0"/>
    <s v="Fatima"/>
    <n v="58000"/>
    <n v="0"/>
    <n v="39000"/>
    <n v="19000"/>
    <n v="5"/>
    <b v="0"/>
    <n v="4"/>
    <b v="0"/>
  </r>
  <r>
    <n v="100064"/>
    <x v="53"/>
    <s v="LG-01"/>
    <s v="Lagos"/>
    <x v="0"/>
    <s v="Home"/>
    <s v="Electric Kettle"/>
    <s v="C1179"/>
    <s v="New"/>
    <n v="1"/>
    <n v="24000"/>
    <x v="1"/>
    <n v="22800"/>
    <n v="15000"/>
    <x v="0"/>
    <s v="Kemi"/>
    <n v="22800"/>
    <n v="0"/>
    <n v="15000"/>
    <n v="7800"/>
    <n v="5"/>
    <b v="0"/>
    <n v="4"/>
    <b v="0"/>
  </r>
  <r>
    <n v="100065"/>
    <x v="4"/>
    <s v="PH-01"/>
    <s v="Port Harcourt"/>
    <x v="2"/>
    <s v="Electronics"/>
    <s v="Smartphone"/>
    <s v="C1055"/>
    <s v="Returning"/>
    <n v="4"/>
    <n v="165000"/>
    <x v="3"/>
    <n v="594000"/>
    <n v="112000"/>
    <x v="0"/>
    <s v="David"/>
    <n v="594000"/>
    <n v="0"/>
    <n v="448000"/>
    <n v="146000"/>
    <n v="13"/>
    <b v="0"/>
    <n v="11"/>
    <b v="0"/>
  </r>
  <r>
    <n v="100066"/>
    <x v="54"/>
    <s v="IB-01"/>
    <s v="Ibadan"/>
    <x v="1"/>
    <s v="Home"/>
    <s v="Blender"/>
    <s v="C1106"/>
    <s v="Returning"/>
    <n v="3"/>
    <n v="42000"/>
    <x v="3"/>
    <n v="113400"/>
    <n v="28000"/>
    <x v="0"/>
    <s v="Kemi"/>
    <n v="113400"/>
    <n v="0"/>
    <n v="84000"/>
    <n v="29400"/>
    <n v="6"/>
    <b v="0"/>
    <n v="4"/>
    <b v="0"/>
  </r>
  <r>
    <n v="100067"/>
    <x v="55"/>
    <s v="AB-02"/>
    <s v="Abuja"/>
    <x v="0"/>
    <s v="Accessories"/>
    <s v="Backpack"/>
    <s v="C1157"/>
    <s v="New"/>
    <n v="3"/>
    <n v="28000"/>
    <x v="4"/>
    <n v="57120"/>
    <n v="16000"/>
    <x v="0"/>
    <s v="David"/>
    <n v="71400"/>
    <n v="-14280"/>
    <n v="48000"/>
    <n v="23400"/>
    <n v="5"/>
    <b v="0"/>
    <n v="11"/>
    <b v="0"/>
  </r>
  <r>
    <n v="100068"/>
    <x v="56"/>
    <s v="AB-02"/>
    <s v="Abuja"/>
    <x v="1"/>
    <s v="Accessories"/>
    <s v="Backpack"/>
    <s v="C1000"/>
    <s v="New"/>
    <n v="4"/>
    <n v="28000"/>
    <x v="1"/>
    <n v="106400"/>
    <n v="16000"/>
    <x v="0"/>
    <s v="David"/>
    <n v="106400"/>
    <n v="0"/>
    <n v="64000"/>
    <n v="42400"/>
    <n v="5"/>
    <b v="0"/>
    <n v="11"/>
    <b v="0"/>
  </r>
  <r>
    <n v="100069"/>
    <x v="57"/>
    <s v="PH-01"/>
    <s v="Port Harcourt"/>
    <x v="2"/>
    <s v="Electronics"/>
    <s v="Smartphone"/>
    <s v="C1032"/>
    <s v="New"/>
    <n v="3"/>
    <n v="165000"/>
    <x v="1"/>
    <n v="470250"/>
    <n v="112000"/>
    <x v="0"/>
    <s v="Bola"/>
    <n v="470250"/>
    <n v="0"/>
    <n v="336000"/>
    <n v="134250"/>
    <n v="13"/>
    <b v="0"/>
    <n v="11"/>
    <b v="0"/>
  </r>
  <r>
    <n v="100070"/>
    <x v="58"/>
    <s v="PH-01"/>
    <s v="Port Harcourt"/>
    <x v="2"/>
    <s v="Home"/>
    <s v="Standing Fan"/>
    <s v="C1024"/>
    <s v="New"/>
    <n v="3"/>
    <n v="58000"/>
    <x v="0"/>
    <n v="174000"/>
    <n v="39000"/>
    <x v="0"/>
    <s v="Ibrahim"/>
    <n v="174000"/>
    <n v="0"/>
    <n v="117000"/>
    <n v="57000"/>
    <n v="13"/>
    <b v="0"/>
    <n v="4"/>
    <b v="0"/>
  </r>
  <r>
    <n v="100071"/>
    <x v="8"/>
    <s v="LG-02"/>
    <s v="Lagos"/>
    <x v="1"/>
    <s v="Electronics"/>
    <s v="Power Bank"/>
    <s v="C1018"/>
    <s v="Returning"/>
    <n v="4"/>
    <n v="26000"/>
    <x v="3"/>
    <n v="93600"/>
    <n v="15000"/>
    <x v="0"/>
    <s v="Chinedu"/>
    <n v="93600"/>
    <n v="0"/>
    <n v="60000"/>
    <n v="33600"/>
    <n v="5"/>
    <b v="0"/>
    <n v="11"/>
    <b v="0"/>
  </r>
  <r>
    <n v="100072"/>
    <x v="3"/>
    <s v="IB-01"/>
    <s v="Ibadan"/>
    <x v="2"/>
    <s v="Home"/>
    <s v="Standing Fan"/>
    <s v="C1058"/>
    <s v="New"/>
    <n v="3"/>
    <n v="58000"/>
    <x v="3"/>
    <n v="125280"/>
    <n v="39000"/>
    <x v="0"/>
    <s v="Grace"/>
    <n v="156600"/>
    <n v="-31320"/>
    <n v="117000"/>
    <n v="39600"/>
    <n v="6"/>
    <b v="0"/>
    <n v="4"/>
    <b v="0"/>
  </r>
  <r>
    <n v="100073"/>
    <x v="59"/>
    <s v="AB-01"/>
    <s v="Abuja"/>
    <x v="1"/>
    <s v="Electronics"/>
    <s v="Power Bank"/>
    <s v="C1086"/>
    <s v="Returning"/>
    <n v="1"/>
    <n v="26000"/>
    <x v="3"/>
    <n v="23400"/>
    <n v="15000"/>
    <x v="1"/>
    <s v="Bola"/>
    <n v="23400"/>
    <n v="0"/>
    <n v="15000"/>
    <n v="8400"/>
    <n v="5"/>
    <b v="0"/>
    <n v="11"/>
    <b v="0"/>
  </r>
  <r>
    <n v="100074"/>
    <x v="41"/>
    <s v="IB-01"/>
    <s v="Ibadan"/>
    <x v="2"/>
    <s v="Accessories"/>
    <s v="USB Cable"/>
    <s v="C1043"/>
    <s v="New"/>
    <n v="4"/>
    <n v="6500"/>
    <x v="1"/>
    <n v="24700"/>
    <n v="2200"/>
    <x v="0"/>
    <s v="Chinedu"/>
    <n v="24700"/>
    <n v="0"/>
    <n v="8800"/>
    <n v="15900"/>
    <n v="6"/>
    <b v="0"/>
    <n v="11"/>
    <b v="0"/>
  </r>
  <r>
    <n v="100075"/>
    <x v="60"/>
    <s v="LG-01"/>
    <s v="Lagos"/>
    <x v="2"/>
    <s v="Electronics"/>
    <s v="Smartphone"/>
    <s v="C1188"/>
    <s v="Returning"/>
    <n v="1"/>
    <n v="165000"/>
    <x v="1"/>
    <n v="156750"/>
    <n v="112000"/>
    <x v="0"/>
    <s v="Fatima"/>
    <n v="156750"/>
    <n v="0"/>
    <n v="112000"/>
    <n v="44750"/>
    <n v="5"/>
    <b v="0"/>
    <n v="11"/>
    <b v="0"/>
  </r>
  <r>
    <n v="100076"/>
    <x v="61"/>
    <s v="LG-01"/>
    <s v="Lagos"/>
    <x v="2"/>
    <s v="Electronics"/>
    <s v="Power Bank"/>
    <s v="C1104"/>
    <s v="New"/>
    <n v="4"/>
    <n v="26000"/>
    <x v="0"/>
    <n v="104000"/>
    <n v="15000"/>
    <x v="0"/>
    <s v="Aisha"/>
    <n v="104000"/>
    <n v="0"/>
    <n v="60000"/>
    <n v="44000"/>
    <n v="5"/>
    <b v="0"/>
    <n v="11"/>
    <b v="0"/>
  </r>
  <r>
    <n v="100077"/>
    <x v="26"/>
    <s v="LG-02"/>
    <s v="Lagos"/>
    <x v="2"/>
    <s v="Accessories"/>
    <s v="Phone Case"/>
    <s v="C1192"/>
    <s v="New"/>
    <n v="2"/>
    <n v="9000"/>
    <x v="4"/>
    <n v="15300"/>
    <n v="3500"/>
    <x v="0"/>
    <s v="Chinedu"/>
    <n v="15300"/>
    <n v="0"/>
    <n v="7000"/>
    <n v="8300"/>
    <n v="5"/>
    <b v="0"/>
    <n v="11"/>
    <b v="0"/>
  </r>
  <r>
    <n v="100078"/>
    <x v="28"/>
    <s v="LG-01"/>
    <s v="Lagos"/>
    <x v="2"/>
    <s v="Accessories"/>
    <s v="USB Cable"/>
    <s v="C1108"/>
    <s v="Returning"/>
    <n v="2"/>
    <n v="6500"/>
    <x v="3"/>
    <n v="11700"/>
    <n v="2200"/>
    <x v="0"/>
    <s v="Kemi"/>
    <n v="11700"/>
    <n v="0"/>
    <n v="4400"/>
    <n v="7300"/>
    <n v="5"/>
    <b v="0"/>
    <n v="11"/>
    <b v="0"/>
  </r>
  <r>
    <n v="100079"/>
    <x v="62"/>
    <s v="LG-02"/>
    <s v="Lagos"/>
    <x v="2"/>
    <s v="Home"/>
    <s v="Standing Fan"/>
    <s v="C1159"/>
    <s v="Returning"/>
    <n v="2"/>
    <n v="58000"/>
    <x v="3"/>
    <n v="104400"/>
    <n v="39000"/>
    <x v="0"/>
    <s v="Aisha"/>
    <n v="104400"/>
    <n v="0"/>
    <n v="78000"/>
    <n v="26400"/>
    <n v="5"/>
    <b v="0"/>
    <n v="4"/>
    <b v="0"/>
  </r>
  <r>
    <n v="100080"/>
    <x v="63"/>
    <s v="IB-01"/>
    <s v="Ibadan"/>
    <x v="1"/>
    <s v="Accessories"/>
    <s v="Backpack"/>
    <s v="C1017"/>
    <s v="Returning"/>
    <n v="2"/>
    <n v="28000"/>
    <x v="3"/>
    <n v="50400"/>
    <n v="16000"/>
    <x v="0"/>
    <s v="Kemi"/>
    <n v="50400"/>
    <n v="0"/>
    <n v="32000"/>
    <n v="18400"/>
    <n v="6"/>
    <b v="0"/>
    <n v="11"/>
    <b v="0"/>
  </r>
  <r>
    <n v="100081"/>
    <x v="38"/>
    <s v="LG-02"/>
    <s v="Lagos"/>
    <x v="1"/>
    <s v="Electronics"/>
    <s v="Earbuds"/>
    <s v="C1143"/>
    <s v="New"/>
    <n v="2"/>
    <n v="32000"/>
    <x v="0"/>
    <n v="64000"/>
    <n v="19000"/>
    <x v="0"/>
    <s v="Aisha"/>
    <n v="64000"/>
    <n v="0"/>
    <n v="38000"/>
    <n v="26000"/>
    <n v="5"/>
    <b v="0"/>
    <n v="11"/>
    <b v="0"/>
  </r>
  <r>
    <n v="100082"/>
    <x v="64"/>
    <s v="AB-01"/>
    <s v="Abuja"/>
    <x v="1"/>
    <s v="Electronics"/>
    <s v="Smartphone"/>
    <s v="C1089"/>
    <s v="New"/>
    <n v="2"/>
    <n v="165000"/>
    <x v="3"/>
    <n v="297000"/>
    <n v="112000"/>
    <x v="0"/>
    <s v="Fatima"/>
    <n v="297000"/>
    <n v="0"/>
    <n v="224000"/>
    <n v="73000"/>
    <n v="5"/>
    <b v="0"/>
    <n v="11"/>
    <b v="0"/>
  </r>
  <r>
    <n v="100083"/>
    <x v="2"/>
    <s v="LG-02"/>
    <s v="Lagos"/>
    <x v="2"/>
    <s v="Electronics"/>
    <s v="Smartphone"/>
    <s v="C1133"/>
    <s v="Returning"/>
    <n v="3"/>
    <n v="165000"/>
    <x v="3"/>
    <n v="445500"/>
    <n v="112000"/>
    <x v="1"/>
    <s v="Fatima"/>
    <n v="445500"/>
    <n v="0"/>
    <n v="336000"/>
    <n v="109500"/>
    <n v="5"/>
    <b v="0"/>
    <n v="11"/>
    <b v="0"/>
  </r>
  <r>
    <n v="100084"/>
    <x v="65"/>
    <s v="AB-01"/>
    <s v="Abuja"/>
    <x v="2"/>
    <s v="Electronics"/>
    <s v="Power Bank"/>
    <s v="C1097"/>
    <s v="New"/>
    <n v="4"/>
    <n v="26000"/>
    <x v="0"/>
    <n v="104000"/>
    <n v="15000"/>
    <x v="1"/>
    <s v="Kemi"/>
    <n v="104000"/>
    <n v="0"/>
    <n v="60000"/>
    <n v="44000"/>
    <n v="5"/>
    <b v="0"/>
    <n v="11"/>
    <b v="0"/>
  </r>
  <r>
    <n v="100085"/>
    <x v="66"/>
    <s v="PH-01"/>
    <s v="Port Harcourt"/>
    <x v="0"/>
    <s v="Electronics"/>
    <s v="Power Bank"/>
    <s v="C1020"/>
    <s v="Returning"/>
    <n v="3"/>
    <n v="26000"/>
    <x v="0"/>
    <n v="78000"/>
    <n v="15000"/>
    <x v="0"/>
    <s v="Aisha"/>
    <n v="78000"/>
    <n v="0"/>
    <n v="45000"/>
    <n v="33000"/>
    <n v="13"/>
    <b v="0"/>
    <n v="11"/>
    <b v="0"/>
  </r>
  <r>
    <n v="100086"/>
    <x v="67"/>
    <s v="KN-01"/>
    <s v="Kano"/>
    <x v="1"/>
    <s v="Electronics"/>
    <s v="Earbuds"/>
    <s v="C1177"/>
    <s v="Returning"/>
    <n v="4"/>
    <n v="32000"/>
    <x v="3"/>
    <n v="115200"/>
    <n v="19000"/>
    <x v="0"/>
    <s v="Fatima"/>
    <n v="115200"/>
    <n v="0"/>
    <n v="76000"/>
    <n v="39200"/>
    <n v="4"/>
    <b v="0"/>
    <n v="11"/>
    <b v="0"/>
  </r>
  <r>
    <n v="100087"/>
    <x v="16"/>
    <s v="AB-01"/>
    <s v="Abuja"/>
    <x v="0"/>
    <s v="Accessories"/>
    <s v="Backpack"/>
    <s v="C1150"/>
    <s v="Returning"/>
    <n v="3"/>
    <n v="28000"/>
    <x v="4"/>
    <n v="71400"/>
    <n v="16000"/>
    <x v="0"/>
    <s v="Fatima"/>
    <n v="71400"/>
    <n v="0"/>
    <n v="48000"/>
    <n v="23400"/>
    <n v="5"/>
    <b v="0"/>
    <n v="11"/>
    <b v="0"/>
  </r>
  <r>
    <n v="100088"/>
    <x v="47"/>
    <s v="KN-01"/>
    <s v="Kano"/>
    <x v="0"/>
    <s v="Electronics"/>
    <s v="Earbuds"/>
    <s v="C1128"/>
    <s v="Returning"/>
    <n v="5"/>
    <n v="32000"/>
    <x v="1"/>
    <n v="152000"/>
    <n v="19000"/>
    <x v="1"/>
    <s v="Chinedu"/>
    <n v="152000"/>
    <n v="0"/>
    <n v="95000"/>
    <n v="57000"/>
    <n v="4"/>
    <b v="0"/>
    <n v="11"/>
    <b v="0"/>
  </r>
  <r>
    <n v="100089"/>
    <x v="68"/>
    <s v="KN-01"/>
    <s v="Kano"/>
    <x v="2"/>
    <s v="Home"/>
    <s v="Blender"/>
    <s v="C1089"/>
    <s v="Returning"/>
    <n v="1"/>
    <n v="42000"/>
    <x v="1"/>
    <n v="39900"/>
    <n v="28000"/>
    <x v="0"/>
    <s v="Bola"/>
    <n v="39900"/>
    <n v="0"/>
    <n v="28000"/>
    <n v="11900"/>
    <n v="4"/>
    <b v="0"/>
    <n v="4"/>
    <b v="0"/>
  </r>
  <r>
    <n v="100090"/>
    <x v="69"/>
    <s v="KN-01"/>
    <s v="Kano"/>
    <x v="1"/>
    <s v="Home"/>
    <s v="Blender"/>
    <s v="C1169"/>
    <s v="Returning"/>
    <n v="4"/>
    <n v="42000"/>
    <x v="1"/>
    <n v="159600"/>
    <n v="28000"/>
    <x v="0"/>
    <s v="Kemi"/>
    <n v="159600"/>
    <n v="0"/>
    <n v="112000"/>
    <n v="47600"/>
    <n v="4"/>
    <b v="0"/>
    <n v="4"/>
    <b v="0"/>
  </r>
  <r>
    <n v="100091"/>
    <x v="70"/>
    <s v="PH-01"/>
    <s v="Port Harcourt"/>
    <x v="1"/>
    <s v="Accessories"/>
    <s v="Phone Case"/>
    <s v="C1166"/>
    <s v="New"/>
    <n v="2"/>
    <n v="9000"/>
    <x v="3"/>
    <n v="16200"/>
    <n v="3500"/>
    <x v="0"/>
    <s v="Grace"/>
    <n v="16200"/>
    <n v="0"/>
    <n v="7000"/>
    <n v="9200"/>
    <n v="13"/>
    <b v="0"/>
    <n v="11"/>
    <b v="0"/>
  </r>
  <r>
    <n v="100092"/>
    <x v="12"/>
    <s v="PH-01"/>
    <s v="Port Harcourt"/>
    <x v="2"/>
    <s v="Home"/>
    <s v="Blender"/>
    <s v="C1108"/>
    <s v="Returning"/>
    <n v="4"/>
    <n v="42000"/>
    <x v="3"/>
    <n v="166320"/>
    <n v="28000"/>
    <x v="0"/>
    <s v="Bola"/>
    <n v="151200"/>
    <n v="15120"/>
    <n v="112000"/>
    <n v="39200"/>
    <n v="13"/>
    <b v="0"/>
    <n v="4"/>
    <b v="0"/>
  </r>
  <r>
    <n v="100093"/>
    <x v="71"/>
    <s v="AB-01"/>
    <s v="Abuja"/>
    <x v="2"/>
    <s v="Accessories"/>
    <s v="Phone Case"/>
    <s v="C1031"/>
    <s v="Returning"/>
    <n v="5"/>
    <n v="9000"/>
    <x v="2"/>
    <n v="36000"/>
    <n v="3500"/>
    <x v="0"/>
    <s v="Fatima"/>
    <n v="36000"/>
    <n v="0"/>
    <n v="17500"/>
    <n v="18500"/>
    <n v="5"/>
    <b v="0"/>
    <n v="11"/>
    <b v="0"/>
  </r>
  <r>
    <n v="100094"/>
    <x v="72"/>
    <s v="LG-02"/>
    <s v="Lagos"/>
    <x v="2"/>
    <s v="Home"/>
    <s v="Blender"/>
    <s v="C1036"/>
    <s v="Returning"/>
    <n v="4"/>
    <n v="42000"/>
    <x v="1"/>
    <n v="127680"/>
    <n v="28000"/>
    <x v="0"/>
    <s v="Fatima"/>
    <n v="159600"/>
    <n v="-31920"/>
    <n v="112000"/>
    <n v="47600"/>
    <n v="5"/>
    <b v="0"/>
    <n v="4"/>
    <b v="0"/>
  </r>
  <r>
    <n v="100095"/>
    <x v="18"/>
    <s v="LG-01"/>
    <s v="Lagos"/>
    <x v="1"/>
    <s v="Accessories"/>
    <s v="Phone Case"/>
    <s v="C1092"/>
    <s v="New"/>
    <n v="1"/>
    <n v="9000"/>
    <x v="1"/>
    <n v="8550"/>
    <n v="3500"/>
    <x v="0"/>
    <s v="Aisha"/>
    <n v="8550"/>
    <n v="0"/>
    <n v="3500"/>
    <n v="5050"/>
    <n v="5"/>
    <b v="0"/>
    <n v="11"/>
    <b v="0"/>
  </r>
  <r>
    <n v="100096"/>
    <x v="73"/>
    <s v="AB-02"/>
    <s v="Abuja"/>
    <x v="1"/>
    <s v="Electronics"/>
    <s v="Power Bank"/>
    <s v="C1038"/>
    <s v="Returning"/>
    <n v="3"/>
    <n v="26000"/>
    <x v="0"/>
    <n v="78000"/>
    <n v="15000"/>
    <x v="0"/>
    <s v="David"/>
    <n v="78000"/>
    <n v="0"/>
    <n v="45000"/>
    <n v="33000"/>
    <n v="5"/>
    <b v="0"/>
    <n v="11"/>
    <b v="0"/>
  </r>
  <r>
    <n v="100097"/>
    <x v="74"/>
    <s v="PH-01"/>
    <s v="Port Harcourt"/>
    <x v="2"/>
    <s v="Electronics"/>
    <s v="Power Bank"/>
    <s v="C1134"/>
    <s v="Returning"/>
    <n v="4"/>
    <n v="26000"/>
    <x v="0"/>
    <n v="104000"/>
    <n v="15000"/>
    <x v="0"/>
    <s v="Bola"/>
    <n v="104000"/>
    <n v="0"/>
    <n v="60000"/>
    <n v="44000"/>
    <n v="13"/>
    <b v="0"/>
    <n v="11"/>
    <b v="0"/>
  </r>
  <r>
    <n v="100098"/>
    <x v="75"/>
    <s v="LG-01"/>
    <s v="Lagos"/>
    <x v="1"/>
    <s v="Home"/>
    <s v="Blender"/>
    <s v="C1071"/>
    <s v="New"/>
    <n v="1"/>
    <n v="42000"/>
    <x v="1"/>
    <n v="39900"/>
    <n v="28000"/>
    <x v="0"/>
    <s v="Fatima"/>
    <n v="39900"/>
    <n v="0"/>
    <n v="28000"/>
    <n v="11900"/>
    <n v="5"/>
    <b v="0"/>
    <n v="4"/>
    <b v="0"/>
  </r>
  <r>
    <n v="100099"/>
    <x v="76"/>
    <s v="LG-01"/>
    <s v="Lagos"/>
    <x v="2"/>
    <s v="Electronics"/>
    <s v="Earbuds"/>
    <s v="C1111"/>
    <s v="New"/>
    <n v="2"/>
    <n v="32000"/>
    <x v="0"/>
    <n v="64000"/>
    <n v="19000"/>
    <x v="0"/>
    <s v="Fatima"/>
    <n v="64000"/>
    <n v="0"/>
    <n v="38000"/>
    <n v="26000"/>
    <n v="5"/>
    <b v="0"/>
    <n v="11"/>
    <b v="0"/>
  </r>
  <r>
    <n v="100100"/>
    <x v="59"/>
    <s v="LG-02"/>
    <s v="Lagos"/>
    <x v="2"/>
    <s v="Electronics"/>
    <s v="Earbuds"/>
    <s v="C1048"/>
    <s v="New"/>
    <n v="3"/>
    <n v="32000"/>
    <x v="1"/>
    <n v="91200"/>
    <n v="19000"/>
    <x v="0"/>
    <s v="Ibrahim"/>
    <n v="91200"/>
    <n v="0"/>
    <n v="57000"/>
    <n v="34200"/>
    <n v="5"/>
    <b v="0"/>
    <n v="11"/>
    <b v="0"/>
  </r>
  <r>
    <n v="100101"/>
    <x v="77"/>
    <s v="AB-02"/>
    <s v="Abuja"/>
    <x v="2"/>
    <s v="Accessories"/>
    <s v="Phone Case"/>
    <s v="C1052"/>
    <s v="Returning"/>
    <n v="5"/>
    <n v="9000"/>
    <x v="1"/>
    <n v="42750"/>
    <n v="3500"/>
    <x v="0"/>
    <s v="Chinedu"/>
    <n v="42750"/>
    <n v="0"/>
    <n v="17500"/>
    <n v="25250"/>
    <n v="5"/>
    <b v="0"/>
    <n v="11"/>
    <b v="0"/>
  </r>
  <r>
    <n v="100102"/>
    <x v="78"/>
    <s v="LG-02"/>
    <s v="Lagos"/>
    <x v="0"/>
    <s v="Home"/>
    <s v="Electric Kettle"/>
    <s v="C1014"/>
    <s v="Returning"/>
    <n v="2"/>
    <n v="24000"/>
    <x v="0"/>
    <n v="48000"/>
    <n v="15000"/>
    <x v="0"/>
    <s v="Ibrahim"/>
    <n v="48000"/>
    <n v="0"/>
    <n v="30000"/>
    <n v="18000"/>
    <n v="5"/>
    <b v="0"/>
    <n v="4"/>
    <b v="0"/>
  </r>
  <r>
    <n v="100103"/>
    <x v="79"/>
    <s v="AB-01"/>
    <s v="Abuja"/>
    <x v="1"/>
    <s v="Electronics"/>
    <s v="Smartphone"/>
    <s v="C1110"/>
    <s v="New"/>
    <n v="1"/>
    <n v="165000"/>
    <x v="0"/>
    <n v="165000"/>
    <n v="112000"/>
    <x v="1"/>
    <s v="Bola"/>
    <n v="165000"/>
    <n v="0"/>
    <n v="112000"/>
    <n v="53000"/>
    <n v="5"/>
    <b v="0"/>
    <n v="11"/>
    <b v="0"/>
  </r>
  <r>
    <n v="100104"/>
    <x v="80"/>
    <s v="LG-01"/>
    <s v="Lagos"/>
    <x v="2"/>
    <s v="Electronics"/>
    <s v="Smartphone"/>
    <s v="C1167"/>
    <s v="New"/>
    <n v="3"/>
    <n v="165000"/>
    <x v="0"/>
    <n v="495000"/>
    <n v="112000"/>
    <x v="0"/>
    <s v="Grace"/>
    <n v="495000"/>
    <n v="0"/>
    <n v="336000"/>
    <n v="159000"/>
    <n v="5"/>
    <b v="0"/>
    <n v="11"/>
    <b v="0"/>
  </r>
  <r>
    <n v="100105"/>
    <x v="81"/>
    <s v="IB-01"/>
    <s v="Ibadan"/>
    <x v="0"/>
    <s v="Home"/>
    <s v="Standing Fan"/>
    <s v="C1002"/>
    <s v="New"/>
    <n v="2"/>
    <n v="58000"/>
    <x v="0"/>
    <n v="116000"/>
    <n v="39000"/>
    <x v="0"/>
    <s v="David"/>
    <n v="116000"/>
    <n v="0"/>
    <n v="78000"/>
    <n v="38000"/>
    <n v="6"/>
    <b v="0"/>
    <n v="4"/>
    <b v="0"/>
  </r>
  <r>
    <n v="100106"/>
    <x v="82"/>
    <s v="IB-01"/>
    <s v="Ibadan"/>
    <x v="2"/>
    <s v="Home"/>
    <s v="Blender"/>
    <s v="C1170"/>
    <s v="Returning"/>
    <n v="5"/>
    <n v="42000"/>
    <x v="1"/>
    <n v="199500"/>
    <n v="28000"/>
    <x v="0"/>
    <s v="Kemi"/>
    <n v="199500"/>
    <n v="0"/>
    <n v="140000"/>
    <n v="59500"/>
    <n v="6"/>
    <b v="0"/>
    <n v="4"/>
    <b v="0"/>
  </r>
  <r>
    <n v="100107"/>
    <x v="73"/>
    <s v="PH-01"/>
    <s v="Port Harcourt"/>
    <x v="2"/>
    <s v="Home"/>
    <s v="Standing Fan"/>
    <s v="C1082"/>
    <s v="Returning"/>
    <n v="1"/>
    <n v="58000"/>
    <x v="3"/>
    <n v="52200"/>
    <n v="39000"/>
    <x v="0"/>
    <s v="Aisha"/>
    <n v="52200"/>
    <n v="0"/>
    <n v="39000"/>
    <n v="13200"/>
    <n v="13"/>
    <b v="0"/>
    <n v="4"/>
    <b v="0"/>
  </r>
  <r>
    <n v="100108"/>
    <x v="83"/>
    <s v="AB-02"/>
    <s v="Abuja"/>
    <x v="2"/>
    <s v="Accessories"/>
    <s v="USB Cable"/>
    <s v="C1021"/>
    <s v="Returning"/>
    <n v="1"/>
    <n v="6500"/>
    <x v="4"/>
    <n v="5525"/>
    <n v="2200"/>
    <x v="0"/>
    <s v="David"/>
    <n v="5525"/>
    <n v="0"/>
    <n v="2200"/>
    <n v="3325"/>
    <n v="5"/>
    <b v="0"/>
    <n v="11"/>
    <b v="0"/>
  </r>
  <r>
    <n v="100109"/>
    <x v="84"/>
    <s v="AB-02"/>
    <s v="Abuja"/>
    <x v="0"/>
    <s v="Accessories"/>
    <s v="Phone Case"/>
    <s v="C1078"/>
    <s v="Returning"/>
    <n v="2"/>
    <n v="9000"/>
    <x v="4"/>
    <n v="15300"/>
    <n v="3500"/>
    <x v="0"/>
    <s v="Fatima"/>
    <n v="15300"/>
    <n v="0"/>
    <n v="7000"/>
    <n v="8300"/>
    <n v="5"/>
    <b v="0"/>
    <n v="11"/>
    <b v="0"/>
  </r>
  <r>
    <n v="100110"/>
    <x v="85"/>
    <s v="LG-02"/>
    <s v="Lagos"/>
    <x v="2"/>
    <s v="Home"/>
    <s v="Blender"/>
    <s v="C1017"/>
    <s v="New"/>
    <n v="1"/>
    <n v="42000"/>
    <x v="0"/>
    <n v="42000"/>
    <n v="28000"/>
    <x v="0"/>
    <s v="David"/>
    <n v="42000"/>
    <n v="0"/>
    <n v="28000"/>
    <n v="14000"/>
    <n v="5"/>
    <b v="0"/>
    <n v="4"/>
    <b v="0"/>
  </r>
  <r>
    <n v="100111"/>
    <x v="84"/>
    <s v="LG-02"/>
    <s v="Lagos"/>
    <x v="2"/>
    <s v="Accessories"/>
    <s v="Backpack"/>
    <s v="C1145"/>
    <s v="Returning"/>
    <n v="1"/>
    <n v="28000"/>
    <x v="1"/>
    <n v="26600"/>
    <n v="16000"/>
    <x v="0"/>
    <s v="Fatima"/>
    <n v="26600"/>
    <n v="0"/>
    <n v="16000"/>
    <n v="10600"/>
    <n v="5"/>
    <b v="0"/>
    <n v="11"/>
    <b v="0"/>
  </r>
  <r>
    <n v="100112"/>
    <x v="86"/>
    <s v="KN-01"/>
    <s v="Kano"/>
    <x v="2"/>
    <s v="Electronics"/>
    <s v="Power Bank"/>
    <s v="C1091"/>
    <s v="New"/>
    <n v="2"/>
    <n v="26000"/>
    <x v="3"/>
    <n v="46800"/>
    <n v="15000"/>
    <x v="0"/>
    <s v="Chinedu"/>
    <n v="46800"/>
    <n v="0"/>
    <n v="30000"/>
    <n v="16800"/>
    <n v="4"/>
    <b v="0"/>
    <n v="11"/>
    <b v="0"/>
  </r>
  <r>
    <n v="100113"/>
    <x v="87"/>
    <s v="AB-02"/>
    <s v="Abuja"/>
    <x v="2"/>
    <s v="Home"/>
    <s v="Standing Fan"/>
    <s v="C1045"/>
    <s v="New"/>
    <n v="3"/>
    <n v="58000"/>
    <x v="1"/>
    <n v="165300"/>
    <n v="39000"/>
    <x v="0"/>
    <s v="Kemi"/>
    <n v="165300"/>
    <n v="0"/>
    <n v="117000"/>
    <n v="48300"/>
    <n v="5"/>
    <b v="0"/>
    <n v="4"/>
    <b v="0"/>
  </r>
  <r>
    <n v="100114"/>
    <x v="88"/>
    <s v="AB-01"/>
    <s v="Abuja"/>
    <x v="1"/>
    <s v="Accessories"/>
    <s v="USB Cable"/>
    <s v="C1044"/>
    <s v="Returning"/>
    <n v="2"/>
    <n v="6500"/>
    <x v="5"/>
    <n v="9750"/>
    <n v="2200"/>
    <x v="0"/>
    <s v="Chinedu"/>
    <n v="9750"/>
    <n v="0"/>
    <n v="4400"/>
    <n v="5350"/>
    <n v="5"/>
    <b v="0"/>
    <n v="11"/>
    <b v="0"/>
  </r>
  <r>
    <n v="100115"/>
    <x v="89"/>
    <s v="LG-02"/>
    <s v="Lagos"/>
    <x v="1"/>
    <s v="Electronics"/>
    <s v="Power Bank"/>
    <s v="C1098"/>
    <s v="New"/>
    <n v="2"/>
    <n v="26000"/>
    <x v="3"/>
    <n v="46800"/>
    <n v="15000"/>
    <x v="0"/>
    <s v="Aisha"/>
    <n v="46800"/>
    <n v="0"/>
    <n v="30000"/>
    <n v="16800"/>
    <n v="5"/>
    <b v="0"/>
    <n v="11"/>
    <b v="0"/>
  </r>
  <r>
    <n v="100116"/>
    <x v="43"/>
    <s v="PH-01"/>
    <s v="Port Harcourt"/>
    <x v="2"/>
    <s v="Accessories"/>
    <s v="Backpack"/>
    <s v="C1190"/>
    <s v="Returning"/>
    <n v="5"/>
    <n v="28000"/>
    <x v="0"/>
    <n v="140000"/>
    <n v="16000"/>
    <x v="0"/>
    <s v="Kemi"/>
    <n v="140000"/>
    <n v="0"/>
    <n v="80000"/>
    <n v="60000"/>
    <n v="13"/>
    <b v="0"/>
    <n v="11"/>
    <b v="0"/>
  </r>
  <r>
    <n v="100117"/>
    <x v="74"/>
    <s v="LG-02"/>
    <s v="Lagos"/>
    <x v="2"/>
    <s v="Accessories"/>
    <s v="Phone Case"/>
    <s v="C1055"/>
    <s v="New"/>
    <n v="4"/>
    <n v="9000"/>
    <x v="0"/>
    <n v="36000"/>
    <n v="3500"/>
    <x v="0"/>
    <s v="Ibrahim"/>
    <n v="36000"/>
    <n v="0"/>
    <n v="14000"/>
    <n v="22000"/>
    <n v="5"/>
    <b v="0"/>
    <n v="11"/>
    <b v="0"/>
  </r>
  <r>
    <n v="100118"/>
    <x v="90"/>
    <s v="IB-01"/>
    <s v="Ibadan"/>
    <x v="0"/>
    <s v="Electronics"/>
    <s v="Power Bank"/>
    <s v="C1048"/>
    <s v="New"/>
    <n v="3"/>
    <n v="26000"/>
    <x v="0"/>
    <n v="78000"/>
    <n v="15000"/>
    <x v="0"/>
    <s v="David"/>
    <n v="78000"/>
    <n v="0"/>
    <n v="45000"/>
    <n v="33000"/>
    <n v="6"/>
    <b v="0"/>
    <n v="11"/>
    <b v="0"/>
  </r>
  <r>
    <n v="100119"/>
    <x v="91"/>
    <s v="LG-02"/>
    <s v="Lagos"/>
    <x v="0"/>
    <s v="Accessories"/>
    <s v="Phone Case"/>
    <s v="C1059"/>
    <s v="Returning"/>
    <n v="4"/>
    <n v="9000"/>
    <x v="0"/>
    <n v="36000"/>
    <n v="3500"/>
    <x v="0"/>
    <s v="Fatima"/>
    <n v="36000"/>
    <n v="0"/>
    <n v="14000"/>
    <n v="22000"/>
    <n v="5"/>
    <b v="0"/>
    <n v="11"/>
    <b v="0"/>
  </r>
  <r>
    <n v="100120"/>
    <x v="86"/>
    <s v="LG-01"/>
    <s v="Lagos"/>
    <x v="2"/>
    <s v="Electronics"/>
    <s v="Smartphone"/>
    <s v="C1194"/>
    <s v="Returning"/>
    <n v="1"/>
    <n v="165000"/>
    <x v="0"/>
    <n v="165000"/>
    <n v="112000"/>
    <x v="1"/>
    <s v="David"/>
    <n v="165000"/>
    <n v="0"/>
    <n v="112000"/>
    <n v="53000"/>
    <n v="5"/>
    <b v="0"/>
    <n v="11"/>
    <b v="0"/>
  </r>
  <r>
    <n v="100121"/>
    <x v="9"/>
    <s v="IB-01"/>
    <s v="Ibadan"/>
    <x v="2"/>
    <s v="Accessories"/>
    <s v="Phone Case"/>
    <s v="C1124"/>
    <s v="New"/>
    <n v="4"/>
    <n v="9000"/>
    <x v="0"/>
    <n v="32400"/>
    <n v="3500"/>
    <x v="0"/>
    <s v="Bola"/>
    <n v="36000"/>
    <n v="-3600"/>
    <n v="14000"/>
    <n v="22000"/>
    <n v="6"/>
    <b v="0"/>
    <n v="11"/>
    <b v="0"/>
  </r>
  <r>
    <n v="100122"/>
    <x v="65"/>
    <s v="PH-01"/>
    <s v="Port Harcourt"/>
    <x v="2"/>
    <s v="Home"/>
    <s v="Electric Kettle"/>
    <s v="C1173"/>
    <s v="New"/>
    <n v="3"/>
    <n v="24000"/>
    <x v="0"/>
    <n v="72000"/>
    <n v="15000"/>
    <x v="0"/>
    <s v="Ibrahim"/>
    <n v="72000"/>
    <n v="0"/>
    <n v="45000"/>
    <n v="27000"/>
    <n v="13"/>
    <b v="0"/>
    <n v="4"/>
    <b v="0"/>
  </r>
  <r>
    <n v="100123"/>
    <x v="4"/>
    <s v="AB-01"/>
    <s v="Abuja"/>
    <x v="2"/>
    <s v="Electronics"/>
    <s v="Earbuds"/>
    <s v="C1020"/>
    <s v="Returning"/>
    <n v="4"/>
    <n v="32000"/>
    <x v="3"/>
    <n v="115200"/>
    <n v="19000"/>
    <x v="0"/>
    <s v="Fatima"/>
    <n v="115200"/>
    <n v="0"/>
    <n v="76000"/>
    <n v="39200"/>
    <n v="5"/>
    <b v="0"/>
    <n v="11"/>
    <b v="0"/>
  </r>
  <r>
    <n v="100124"/>
    <x v="66"/>
    <s v="KN-01"/>
    <s v="Kano"/>
    <x v="1"/>
    <s v="Electronics"/>
    <s v="Earbuds"/>
    <s v="C1080"/>
    <s v="Returning"/>
    <n v="3"/>
    <n v="32000"/>
    <x v="4"/>
    <n v="81600"/>
    <n v="19000"/>
    <x v="0"/>
    <s v="David"/>
    <n v="81600"/>
    <n v="0"/>
    <n v="57000"/>
    <n v="24600"/>
    <n v="4"/>
    <b v="0"/>
    <n v="11"/>
    <b v="0"/>
  </r>
  <r>
    <n v="100125"/>
    <x v="92"/>
    <s v="PH-01"/>
    <s v="Port Harcourt"/>
    <x v="2"/>
    <s v="Electronics"/>
    <s v="Earbuds"/>
    <s v="C1184"/>
    <s v="Returning"/>
    <n v="3"/>
    <n v="32000"/>
    <x v="4"/>
    <n v="81600"/>
    <n v="19000"/>
    <x v="0"/>
    <s v="Chinedu"/>
    <n v="81600"/>
    <n v="0"/>
    <n v="57000"/>
    <n v="24600"/>
    <n v="13"/>
    <b v="0"/>
    <n v="11"/>
    <b v="0"/>
  </r>
  <r>
    <n v="100126"/>
    <x v="93"/>
    <s v="AB-02"/>
    <s v="Abuja"/>
    <x v="0"/>
    <s v="Electronics"/>
    <s v="Smartphone"/>
    <s v="C1004"/>
    <s v="Returning"/>
    <n v="2"/>
    <n v="165000"/>
    <x v="5"/>
    <n v="247500"/>
    <n v="112000"/>
    <x v="0"/>
    <s v="Ibrahim"/>
    <n v="247500"/>
    <n v="0"/>
    <n v="224000"/>
    <n v="23500"/>
    <n v="5"/>
    <b v="0"/>
    <n v="11"/>
    <b v="0"/>
  </r>
  <r>
    <n v="100127"/>
    <x v="16"/>
    <s v="AB-01"/>
    <s v="Abuja"/>
    <x v="1"/>
    <s v="Accessories"/>
    <s v="Phone Case"/>
    <s v="C1129"/>
    <s v="Returning"/>
    <n v="3"/>
    <n v="9000"/>
    <x v="5"/>
    <n v="20250"/>
    <n v="3500"/>
    <x v="0"/>
    <s v="Bola"/>
    <n v="20250"/>
    <n v="0"/>
    <n v="10500"/>
    <n v="9750"/>
    <n v="5"/>
    <b v="0"/>
    <n v="11"/>
    <b v="0"/>
  </r>
  <r>
    <n v="100128"/>
    <x v="94"/>
    <s v="AB-01"/>
    <s v="Abuja"/>
    <x v="0"/>
    <s v="Electronics"/>
    <s v="Smartphone"/>
    <s v="C1124"/>
    <s v="New"/>
    <n v="2"/>
    <n v="165000"/>
    <x v="0"/>
    <n v="330000"/>
    <n v="112000"/>
    <x v="0"/>
    <s v="David"/>
    <n v="330000"/>
    <n v="0"/>
    <n v="224000"/>
    <n v="106000"/>
    <n v="5"/>
    <b v="0"/>
    <n v="11"/>
    <b v="0"/>
  </r>
  <r>
    <n v="100129"/>
    <x v="52"/>
    <s v="PH-01"/>
    <s v="Port Harcourt"/>
    <x v="0"/>
    <s v="Accessories"/>
    <s v="Backpack"/>
    <s v="C1062"/>
    <s v="New"/>
    <n v="2"/>
    <n v="28000"/>
    <x v="1"/>
    <n v="53200"/>
    <n v="16000"/>
    <x v="0"/>
    <s v="Chinedu"/>
    <n v="53200"/>
    <n v="0"/>
    <n v="32000"/>
    <n v="21200"/>
    <n v="13"/>
    <b v="0"/>
    <n v="11"/>
    <b v="0"/>
  </r>
  <r>
    <n v="100130"/>
    <x v="95"/>
    <s v="LG-02"/>
    <s v="Lagos"/>
    <x v="0"/>
    <s v="Accessories"/>
    <s v="Phone Case"/>
    <s v="C1046"/>
    <s v="New"/>
    <n v="2"/>
    <n v="9000"/>
    <x v="0"/>
    <n v="18000"/>
    <n v="3500"/>
    <x v="0"/>
    <s v="Kemi"/>
    <n v="18000"/>
    <n v="0"/>
    <n v="7000"/>
    <n v="11000"/>
    <n v="5"/>
    <b v="0"/>
    <n v="11"/>
    <b v="0"/>
  </r>
  <r>
    <n v="100131"/>
    <x v="6"/>
    <s v="LG-02"/>
    <s v="Lagos"/>
    <x v="0"/>
    <s v="Home"/>
    <s v="Blender"/>
    <s v="C1191"/>
    <s v="New"/>
    <n v="1"/>
    <n v="42000"/>
    <x v="0"/>
    <n v="42000"/>
    <n v="28000"/>
    <x v="0"/>
    <s v="David"/>
    <n v="42000"/>
    <n v="0"/>
    <n v="28000"/>
    <n v="14000"/>
    <n v="5"/>
    <b v="0"/>
    <n v="4"/>
    <b v="0"/>
  </r>
  <r>
    <n v="100132"/>
    <x v="96"/>
    <s v="PH-01"/>
    <s v="Port Harcourt"/>
    <x v="2"/>
    <s v="Electronics"/>
    <s v="Power Bank"/>
    <s v="C1076"/>
    <s v="Returning"/>
    <n v="4"/>
    <n v="26000"/>
    <x v="0"/>
    <n v="104000"/>
    <n v="15000"/>
    <x v="0"/>
    <s v="Aisha"/>
    <n v="104000"/>
    <n v="0"/>
    <n v="60000"/>
    <n v="44000"/>
    <n v="13"/>
    <b v="0"/>
    <n v="11"/>
    <b v="0"/>
  </r>
  <r>
    <n v="100133"/>
    <x v="97"/>
    <s v="KN-01"/>
    <s v="Kano"/>
    <x v="2"/>
    <s v="Home"/>
    <s v="Electric Kettle"/>
    <s v="C1153"/>
    <s v="Returning"/>
    <n v="1"/>
    <n v="24000"/>
    <x v="0"/>
    <n v="24000"/>
    <n v="15000"/>
    <x v="0"/>
    <s v="Kemi"/>
    <n v="24000"/>
    <n v="0"/>
    <n v="15000"/>
    <n v="9000"/>
    <n v="4"/>
    <b v="0"/>
    <n v="4"/>
    <b v="0"/>
  </r>
  <r>
    <n v="100134"/>
    <x v="36"/>
    <s v="AB-02"/>
    <s v="Abuja"/>
    <x v="1"/>
    <s v="Home"/>
    <s v="Standing Fan"/>
    <s v="C1016"/>
    <s v="Returning"/>
    <n v="3"/>
    <n v="58000"/>
    <x v="5"/>
    <n v="130500"/>
    <n v="39000"/>
    <x v="0"/>
    <s v="Ibrahim"/>
    <n v="130500"/>
    <n v="0"/>
    <n v="117000"/>
    <n v="13500"/>
    <n v="5"/>
    <b v="0"/>
    <n v="4"/>
    <b v="0"/>
  </r>
  <r>
    <n v="100135"/>
    <x v="98"/>
    <s v="KN-01"/>
    <s v="Kano"/>
    <x v="0"/>
    <s v="Home"/>
    <s v="Electric Kettle"/>
    <s v="C1003"/>
    <s v="Returning"/>
    <n v="1"/>
    <n v="24000"/>
    <x v="4"/>
    <n v="20400"/>
    <n v="15000"/>
    <x v="0"/>
    <s v="Kemi"/>
    <n v="20400"/>
    <n v="0"/>
    <n v="15000"/>
    <n v="5400"/>
    <n v="4"/>
    <b v="0"/>
    <n v="4"/>
    <b v="0"/>
  </r>
  <r>
    <n v="100136"/>
    <x v="99"/>
    <s v="KN-01"/>
    <s v="Kano"/>
    <x v="2"/>
    <s v="Electronics"/>
    <s v="Power Bank"/>
    <s v="C1149"/>
    <s v="New"/>
    <n v="2"/>
    <n v="26000"/>
    <x v="4"/>
    <n v="44200"/>
    <n v="15000"/>
    <x v="0"/>
    <s v="Fatima"/>
    <n v="44200"/>
    <n v="0"/>
    <n v="30000"/>
    <n v="14200"/>
    <n v="4"/>
    <b v="0"/>
    <n v="11"/>
    <b v="0"/>
  </r>
  <r>
    <n v="100137"/>
    <x v="38"/>
    <s v="LG-01"/>
    <s v="Lagos"/>
    <x v="1"/>
    <s v="Home"/>
    <s v="Blender"/>
    <s v="C1072"/>
    <s v="Returning"/>
    <n v="2"/>
    <n v="42000"/>
    <x v="0"/>
    <n v="84000"/>
    <n v="28000"/>
    <x v="0"/>
    <s v="David"/>
    <n v="84000"/>
    <n v="0"/>
    <n v="56000"/>
    <n v="28000"/>
    <n v="5"/>
    <b v="0"/>
    <n v="4"/>
    <b v="0"/>
  </r>
  <r>
    <n v="100138"/>
    <x v="100"/>
    <s v="IB-01"/>
    <s v="Ibadan"/>
    <x v="2"/>
    <s v="Electronics"/>
    <s v="Earbuds"/>
    <s v="C1161"/>
    <s v="Returning"/>
    <n v="4"/>
    <n v="32000"/>
    <x v="0"/>
    <n v="128000"/>
    <n v="19000"/>
    <x v="0"/>
    <s v="Fatima"/>
    <n v="128000"/>
    <n v="0"/>
    <n v="76000"/>
    <n v="52000"/>
    <n v="6"/>
    <b v="0"/>
    <n v="11"/>
    <b v="0"/>
  </r>
  <r>
    <n v="100139"/>
    <x v="43"/>
    <s v="LG-01"/>
    <s v="Lagos"/>
    <x v="2"/>
    <s v="Accessories"/>
    <s v="Backpack"/>
    <s v="C1146"/>
    <s v="New"/>
    <n v="3"/>
    <n v="28000"/>
    <x v="1"/>
    <n v="79800"/>
    <n v="16000"/>
    <x v="0"/>
    <s v="Bola"/>
    <n v="79800"/>
    <n v="0"/>
    <n v="48000"/>
    <n v="31800"/>
    <n v="5"/>
    <b v="0"/>
    <n v="11"/>
    <b v="0"/>
  </r>
  <r>
    <n v="100140"/>
    <x v="101"/>
    <s v="LG-02"/>
    <s v="Lagos"/>
    <x v="2"/>
    <s v="Accessories"/>
    <s v="USB Cable"/>
    <s v="C1002"/>
    <s v="Returning"/>
    <n v="2"/>
    <n v="6500"/>
    <x v="4"/>
    <n v="11050"/>
    <n v="2200"/>
    <x v="0"/>
    <s v="Ibrahim"/>
    <n v="11050"/>
    <n v="0"/>
    <n v="4400"/>
    <n v="6650"/>
    <n v="5"/>
    <b v="0"/>
    <n v="11"/>
    <b v="0"/>
  </r>
  <r>
    <n v="100141"/>
    <x v="102"/>
    <s v="LG-02"/>
    <s v="Lagos"/>
    <x v="2"/>
    <s v="Home"/>
    <s v="Blender"/>
    <s v="C1068"/>
    <s v="Returning"/>
    <n v="18"/>
    <n v="42000"/>
    <x v="0"/>
    <n v="756000"/>
    <n v="28000"/>
    <x v="0"/>
    <s v="Ibrahim"/>
    <n v="756000"/>
    <n v="0"/>
    <n v="504000"/>
    <n v="252000"/>
    <n v="5"/>
    <b v="0"/>
    <n v="4"/>
    <b v="0"/>
  </r>
  <r>
    <n v="100142"/>
    <x v="1"/>
    <s v="IB-01"/>
    <s v="Ibadan"/>
    <x v="1"/>
    <s v="Electronics"/>
    <s v="Earbuds"/>
    <s v="C1088"/>
    <s v="New"/>
    <n v="1"/>
    <n v="32000"/>
    <x v="0"/>
    <n v="32000"/>
    <n v="19000"/>
    <x v="0"/>
    <s v="Kemi"/>
    <n v="32000"/>
    <n v="0"/>
    <n v="19000"/>
    <n v="13000"/>
    <n v="6"/>
    <b v="0"/>
    <n v="11"/>
    <b v="0"/>
  </r>
  <r>
    <n v="100143"/>
    <x v="103"/>
    <s v="LG-02"/>
    <s v="Lagos"/>
    <x v="2"/>
    <s v="Electronics"/>
    <s v="Smartphone"/>
    <s v="C1164"/>
    <s v="Returning"/>
    <n v="2"/>
    <n v="165000"/>
    <x v="0"/>
    <n v="330000"/>
    <n v="112000"/>
    <x v="0"/>
    <s v="Ibrahim"/>
    <n v="330000"/>
    <n v="0"/>
    <n v="224000"/>
    <n v="106000"/>
    <n v="5"/>
    <b v="0"/>
    <n v="11"/>
    <b v="0"/>
  </r>
  <r>
    <n v="100144"/>
    <x v="41"/>
    <s v="IB-01"/>
    <s v="Ibadan"/>
    <x v="0"/>
    <s v="Electronics"/>
    <s v="Earbuds"/>
    <s v="C1139"/>
    <s v="New"/>
    <n v="2"/>
    <n v="32000"/>
    <x v="4"/>
    <n v="54400"/>
    <n v="19000"/>
    <x v="1"/>
    <s v="Grace"/>
    <n v="54400"/>
    <n v="0"/>
    <n v="38000"/>
    <n v="16400"/>
    <n v="6"/>
    <b v="0"/>
    <n v="11"/>
    <b v="0"/>
  </r>
  <r>
    <n v="100145"/>
    <x v="17"/>
    <s v="IB-01"/>
    <s v="Ibadan"/>
    <x v="2"/>
    <s v="Accessories"/>
    <s v="Backpack"/>
    <s v="C1018"/>
    <s v="New"/>
    <n v="1"/>
    <n v="28000"/>
    <x v="0"/>
    <n v="28000"/>
    <n v="16000"/>
    <x v="0"/>
    <s v="Chinedu"/>
    <n v="28000"/>
    <n v="0"/>
    <n v="16000"/>
    <n v="12000"/>
    <n v="6"/>
    <b v="0"/>
    <n v="11"/>
    <b v="0"/>
  </r>
  <r>
    <n v="100146"/>
    <x v="104"/>
    <s v="KN-01"/>
    <s v="Kano"/>
    <x v="1"/>
    <s v="Electronics"/>
    <s v="Earbuds"/>
    <s v="C1128"/>
    <s v="Returning"/>
    <n v="1"/>
    <n v="32000"/>
    <x v="3"/>
    <n v="28800"/>
    <n v="19000"/>
    <x v="0"/>
    <s v="Ibrahim"/>
    <n v="28800"/>
    <n v="0"/>
    <n v="19000"/>
    <n v="9800"/>
    <n v="4"/>
    <b v="0"/>
    <n v="11"/>
    <b v="0"/>
  </r>
  <r>
    <n v="100147"/>
    <x v="105"/>
    <s v="PH-01"/>
    <s v="Port Harcourt"/>
    <x v="2"/>
    <s v="Home"/>
    <s v="Blender"/>
    <s v="C1172"/>
    <s v="New"/>
    <n v="2"/>
    <n v="42000"/>
    <x v="1"/>
    <n v="79800"/>
    <n v="28000"/>
    <x v="0"/>
    <s v="Chinedu"/>
    <n v="79800"/>
    <n v="0"/>
    <n v="56000"/>
    <n v="23800"/>
    <n v="13"/>
    <b v="0"/>
    <n v="4"/>
    <b v="0"/>
  </r>
  <r>
    <n v="100148"/>
    <x v="66"/>
    <s v="PH-01"/>
    <s v="Port Harcourt"/>
    <x v="1"/>
    <s v="Home"/>
    <s v="Electric Kettle"/>
    <s v="C1069"/>
    <s v="Returning"/>
    <n v="1"/>
    <n v="24000"/>
    <x v="1"/>
    <n v="22800"/>
    <n v="15000"/>
    <x v="0"/>
    <s v="Chinedu"/>
    <n v="22800"/>
    <n v="0"/>
    <n v="15000"/>
    <n v="7800"/>
    <n v="13"/>
    <b v="0"/>
    <n v="4"/>
    <b v="0"/>
  </r>
  <r>
    <n v="100149"/>
    <x v="106"/>
    <s v="LG-02"/>
    <s v="Lagos"/>
    <x v="2"/>
    <s v="Accessories"/>
    <s v="Phone Case"/>
    <s v="C1150"/>
    <s v="Returning"/>
    <n v="4"/>
    <n v="9000"/>
    <x v="1"/>
    <n v="34200"/>
    <n v="3500"/>
    <x v="0"/>
    <s v="Grace"/>
    <n v="34200"/>
    <n v="0"/>
    <n v="14000"/>
    <n v="20200"/>
    <n v="5"/>
    <b v="0"/>
    <n v="11"/>
    <b v="0"/>
  </r>
  <r>
    <n v="100150"/>
    <x v="16"/>
    <s v="IB-01"/>
    <s v="Ibadan"/>
    <x v="1"/>
    <s v="Electronics"/>
    <s v="Power Bank"/>
    <s v="C1044"/>
    <s v="Returning"/>
    <n v="1"/>
    <n v="26000"/>
    <x v="3"/>
    <n v="23400"/>
    <n v="15000"/>
    <x v="0"/>
    <s v="Grace"/>
    <n v="23400"/>
    <n v="0"/>
    <n v="15000"/>
    <n v="8400"/>
    <n v="6"/>
    <b v="0"/>
    <n v="11"/>
    <b v="0"/>
  </r>
  <r>
    <n v="100151"/>
    <x v="107"/>
    <s v="KN-01"/>
    <s v="Kano"/>
    <x v="1"/>
    <s v="Electronics"/>
    <s v="Smartphone"/>
    <s v="C1186"/>
    <s v="New"/>
    <n v="1"/>
    <n v="165000"/>
    <x v="4"/>
    <n v="140250"/>
    <n v="112000"/>
    <x v="0"/>
    <s v="Chinedu"/>
    <n v="140250"/>
    <n v="0"/>
    <n v="112000"/>
    <n v="28250"/>
    <n v="4"/>
    <b v="0"/>
    <n v="11"/>
    <b v="0"/>
  </r>
  <r>
    <n v="100152"/>
    <x v="21"/>
    <s v="LG-02"/>
    <s v="Lagos"/>
    <x v="0"/>
    <s v="Accessories"/>
    <s v="USB Cable"/>
    <s v="C1076"/>
    <s v="Returning"/>
    <n v="1"/>
    <n v="6500"/>
    <x v="0"/>
    <n v="6500"/>
    <n v="2200"/>
    <x v="0"/>
    <s v="Ibrahim"/>
    <n v="6500"/>
    <n v="0"/>
    <n v="2200"/>
    <n v="4300"/>
    <n v="5"/>
    <b v="0"/>
    <n v="11"/>
    <b v="0"/>
  </r>
  <r>
    <n v="100153"/>
    <x v="108"/>
    <s v="AB-02"/>
    <s v="Abuja"/>
    <x v="0"/>
    <s v="Electronics"/>
    <s v="Earbuds"/>
    <s v="C1117"/>
    <s v="Returning"/>
    <n v="1"/>
    <n v="32000"/>
    <x v="5"/>
    <n v="24000"/>
    <n v="19000"/>
    <x v="0"/>
    <s v="Fatima"/>
    <n v="24000"/>
    <n v="0"/>
    <n v="19000"/>
    <n v="5000"/>
    <n v="5"/>
    <b v="0"/>
    <n v="11"/>
    <b v="0"/>
  </r>
  <r>
    <n v="100154"/>
    <x v="67"/>
    <s v="IB-01"/>
    <s v="Ibadan"/>
    <x v="2"/>
    <s v="Electronics"/>
    <s v="Earbuds"/>
    <s v="C1024"/>
    <s v="New"/>
    <n v="1"/>
    <n v="32000"/>
    <x v="0"/>
    <n v="32000"/>
    <n v="19000"/>
    <x v="0"/>
    <s v="Fatima"/>
    <n v="32000"/>
    <n v="0"/>
    <n v="19000"/>
    <n v="13000"/>
    <n v="6"/>
    <b v="0"/>
    <n v="11"/>
    <b v="0"/>
  </r>
  <r>
    <n v="100155"/>
    <x v="109"/>
    <s v="LG-02"/>
    <s v="Lagos"/>
    <x v="2"/>
    <s v="Accessories"/>
    <s v="Backpack"/>
    <s v="C1005"/>
    <s v="New"/>
    <n v="5"/>
    <n v="28000"/>
    <x v="4"/>
    <n v="119000"/>
    <n v="16000"/>
    <x v="0"/>
    <s v="Chinedu"/>
    <n v="119000"/>
    <n v="0"/>
    <n v="80000"/>
    <n v="39000"/>
    <n v="5"/>
    <b v="0"/>
    <n v="11"/>
    <b v="0"/>
  </r>
  <r>
    <n v="100156"/>
    <x v="110"/>
    <s v="LG-01"/>
    <s v="Lagos"/>
    <x v="2"/>
    <s v="Electronics"/>
    <s v="Earbuds"/>
    <s v="C1004"/>
    <s v="New"/>
    <n v="1"/>
    <n v="32000"/>
    <x v="0"/>
    <n v="32000"/>
    <n v="19000"/>
    <x v="0"/>
    <s v="Kemi"/>
    <n v="32000"/>
    <n v="0"/>
    <n v="19000"/>
    <n v="13000"/>
    <n v="5"/>
    <b v="0"/>
    <n v="11"/>
    <b v="0"/>
  </r>
  <r>
    <n v="100157"/>
    <x v="104"/>
    <s v="IB-01"/>
    <s v="Ibadan"/>
    <x v="1"/>
    <s v="Electronics"/>
    <s v="Earbuds"/>
    <s v="C1105"/>
    <s v="New"/>
    <n v="1"/>
    <n v="32000"/>
    <x v="3"/>
    <n v="28800"/>
    <n v="19000"/>
    <x v="0"/>
    <s v="Grace"/>
    <n v="28800"/>
    <n v="0"/>
    <n v="19000"/>
    <n v="9800"/>
    <n v="6"/>
    <b v="0"/>
    <n v="11"/>
    <b v="0"/>
  </r>
  <r>
    <n v="100158"/>
    <x v="111"/>
    <s v="PH-01"/>
    <s v="Port Harcourt"/>
    <x v="1"/>
    <s v="Accessories"/>
    <s v="Phone Case"/>
    <s v="C1067"/>
    <s v="New"/>
    <n v="2"/>
    <n v="9000"/>
    <x v="1"/>
    <n v="17100"/>
    <n v="3500"/>
    <x v="0"/>
    <s v="Kemi"/>
    <n v="17100"/>
    <n v="0"/>
    <n v="7000"/>
    <n v="10100"/>
    <n v="13"/>
    <b v="0"/>
    <n v="11"/>
    <b v="0"/>
  </r>
  <r>
    <n v="100159"/>
    <x v="112"/>
    <s v="LG-01"/>
    <s v="Lagos"/>
    <x v="2"/>
    <s v="Home"/>
    <s v="Electric Kettle"/>
    <s v="C1184"/>
    <s v="New"/>
    <n v="1"/>
    <n v="24000"/>
    <x v="0"/>
    <n v="24000"/>
    <n v="15000"/>
    <x v="0"/>
    <s v="David"/>
    <n v="24000"/>
    <n v="0"/>
    <n v="15000"/>
    <n v="9000"/>
    <n v="5"/>
    <b v="0"/>
    <n v="4"/>
    <b v="0"/>
  </r>
  <r>
    <n v="100160"/>
    <x v="32"/>
    <s v="LG-02"/>
    <s v="Lagos"/>
    <x v="1"/>
    <s v="Home"/>
    <s v="Electric Kettle"/>
    <s v="C1008"/>
    <s v="Returning"/>
    <n v="1"/>
    <n v="24000"/>
    <x v="0"/>
    <n v="24000"/>
    <n v="15000"/>
    <x v="0"/>
    <s v="Grace"/>
    <n v="24000"/>
    <n v="0"/>
    <n v="15000"/>
    <n v="9000"/>
    <n v="5"/>
    <b v="0"/>
    <n v="4"/>
    <b v="0"/>
  </r>
  <r>
    <n v="100161"/>
    <x v="113"/>
    <s v="IB-01"/>
    <s v="Ibadan"/>
    <x v="0"/>
    <s v="Home"/>
    <s v="Standing Fan"/>
    <s v="C1096"/>
    <s v="Returning"/>
    <n v="3"/>
    <n v="58000"/>
    <x v="0"/>
    <n v="174000"/>
    <n v="39000"/>
    <x v="0"/>
    <s v="David"/>
    <n v="174000"/>
    <n v="0"/>
    <n v="117000"/>
    <n v="57000"/>
    <n v="6"/>
    <b v="0"/>
    <n v="4"/>
    <b v="0"/>
  </r>
  <r>
    <n v="100162"/>
    <x v="1"/>
    <s v="IB-01"/>
    <s v="Ibadan"/>
    <x v="0"/>
    <s v="Accessories"/>
    <s v="Phone Case"/>
    <s v="C1119"/>
    <s v="New"/>
    <n v="1"/>
    <n v="9000"/>
    <x v="0"/>
    <n v="9000"/>
    <n v="3500"/>
    <x v="0"/>
    <s v="Fatima"/>
    <n v="9000"/>
    <n v="0"/>
    <n v="3500"/>
    <n v="5500"/>
    <n v="6"/>
    <b v="0"/>
    <n v="11"/>
    <b v="0"/>
  </r>
  <r>
    <n v="100163"/>
    <x v="78"/>
    <s v="KN-01"/>
    <s v="Kano"/>
    <x v="1"/>
    <s v="Electronics"/>
    <s v="Power Bank"/>
    <s v="C1158"/>
    <s v="New"/>
    <n v="5"/>
    <n v="26000"/>
    <x v="4"/>
    <n v="88400"/>
    <n v="15000"/>
    <x v="0"/>
    <s v="Bola"/>
    <n v="110500"/>
    <n v="-22100"/>
    <n v="75000"/>
    <n v="35500"/>
    <n v="4"/>
    <b v="0"/>
    <n v="11"/>
    <b v="0"/>
  </r>
  <r>
    <n v="100164"/>
    <x v="114"/>
    <s v="KN-01"/>
    <s v="Kano"/>
    <x v="1"/>
    <s v="Electronics"/>
    <s v="Smartphone"/>
    <s v="C1037"/>
    <s v="Returning"/>
    <n v="5"/>
    <n v="165000"/>
    <x v="1"/>
    <n v="783750"/>
    <n v="112000"/>
    <x v="0"/>
    <s v="Chinedu"/>
    <n v="783750"/>
    <n v="0"/>
    <n v="560000"/>
    <n v="223750"/>
    <n v="4"/>
    <b v="0"/>
    <n v="11"/>
    <b v="0"/>
  </r>
  <r>
    <n v="100165"/>
    <x v="115"/>
    <s v="LG-01"/>
    <s v="Lagos"/>
    <x v="1"/>
    <s v="Electronics"/>
    <s v="Smartphone"/>
    <s v="C1036"/>
    <s v="Returning"/>
    <n v="1"/>
    <n v="165000"/>
    <x v="0"/>
    <n v="165000"/>
    <n v="112000"/>
    <x v="0"/>
    <s v="Fatima"/>
    <n v="165000"/>
    <n v="0"/>
    <n v="112000"/>
    <n v="53000"/>
    <n v="5"/>
    <b v="0"/>
    <n v="11"/>
    <b v="0"/>
  </r>
  <r>
    <n v="100166"/>
    <x v="116"/>
    <s v="LG-01"/>
    <s v="Lagos"/>
    <x v="1"/>
    <s v="Electronics"/>
    <s v="Earbuds"/>
    <s v="C1013"/>
    <s v="Returning"/>
    <n v="3"/>
    <n v="32000"/>
    <x v="1"/>
    <n v="91200"/>
    <n v="19000"/>
    <x v="0"/>
    <s v="Aisha"/>
    <n v="91200"/>
    <n v="0"/>
    <n v="57000"/>
    <n v="34200"/>
    <n v="5"/>
    <b v="0"/>
    <n v="11"/>
    <b v="0"/>
  </r>
  <r>
    <n v="100167"/>
    <x v="117"/>
    <s v="LG-02"/>
    <s v="Lagos"/>
    <x v="0"/>
    <s v="Electronics"/>
    <s v="Earbuds"/>
    <s v="C1023"/>
    <s v="New"/>
    <n v="1"/>
    <n v="32000"/>
    <x v="3"/>
    <n v="28800"/>
    <n v="19000"/>
    <x v="0"/>
    <s v="Aisha"/>
    <n v="28800"/>
    <n v="0"/>
    <n v="19000"/>
    <n v="9800"/>
    <n v="5"/>
    <b v="0"/>
    <n v="11"/>
    <b v="0"/>
  </r>
  <r>
    <n v="100168"/>
    <x v="50"/>
    <s v="KN-01"/>
    <s v="Kano"/>
    <x v="0"/>
    <s v="Electronics"/>
    <s v="Earbuds"/>
    <s v="C1134"/>
    <s v="New"/>
    <n v="22"/>
    <n v="32000"/>
    <x v="1"/>
    <n v="668800"/>
    <n v="19000"/>
    <x v="1"/>
    <s v="Chinedu"/>
    <n v="668800"/>
    <n v="0"/>
    <n v="418000"/>
    <n v="250800"/>
    <n v="4"/>
    <b v="0"/>
    <n v="11"/>
    <b v="0"/>
  </r>
  <r>
    <n v="100169"/>
    <x v="118"/>
    <s v="AB-01"/>
    <s v="Abuja"/>
    <x v="0"/>
    <s v="Electronics"/>
    <s v="Power Bank"/>
    <s v="C1176"/>
    <s v="Returning"/>
    <n v="3"/>
    <n v="26000"/>
    <x v="4"/>
    <n v="66300"/>
    <n v="15000"/>
    <x v="1"/>
    <s v="David"/>
    <n v="66300"/>
    <n v="0"/>
    <n v="45000"/>
    <n v="21300"/>
    <n v="5"/>
    <b v="0"/>
    <n v="11"/>
    <b v="0"/>
  </r>
  <r>
    <n v="100170"/>
    <x v="119"/>
    <s v="LG-02"/>
    <s v="Lagos"/>
    <x v="2"/>
    <s v="Electronics"/>
    <s v="Power Bank"/>
    <s v="C1004"/>
    <s v="New"/>
    <n v="1"/>
    <n v="26000"/>
    <x v="1"/>
    <n v="24700"/>
    <n v="15000"/>
    <x v="0"/>
    <s v="Ibrahim"/>
    <n v="24700"/>
    <n v="0"/>
    <n v="15000"/>
    <n v="9700"/>
    <n v="5"/>
    <b v="0"/>
    <n v="11"/>
    <b v="0"/>
  </r>
  <r>
    <n v="100171"/>
    <x v="66"/>
    <s v="KN-01"/>
    <s v="Kano"/>
    <x v="1"/>
    <s v="Home"/>
    <s v="Electric Kettle"/>
    <s v="C1026"/>
    <s v="Returning"/>
    <n v="3"/>
    <n v="24000"/>
    <x v="4"/>
    <n v="61200"/>
    <n v="15000"/>
    <x v="0"/>
    <s v="Grace"/>
    <n v="61200"/>
    <n v="0"/>
    <n v="45000"/>
    <n v="16200"/>
    <n v="4"/>
    <b v="0"/>
    <n v="4"/>
    <b v="0"/>
  </r>
  <r>
    <n v="100172"/>
    <x v="120"/>
    <s v="IB-01"/>
    <s v="Ibadan"/>
    <x v="2"/>
    <s v="Accessories"/>
    <s v="Backpack"/>
    <s v="C1172"/>
    <s v="New"/>
    <n v="2"/>
    <n v="28000"/>
    <x v="4"/>
    <n v="52360"/>
    <n v="16000"/>
    <x v="0"/>
    <s v="David"/>
    <n v="47600"/>
    <n v="4760"/>
    <n v="32000"/>
    <n v="15600"/>
    <n v="6"/>
    <b v="0"/>
    <n v="11"/>
    <b v="0"/>
  </r>
  <r>
    <n v="100173"/>
    <x v="21"/>
    <s v="KN-01"/>
    <s v="Kano"/>
    <x v="1"/>
    <s v="Accessories"/>
    <s v="USB Cable"/>
    <s v="C1102"/>
    <s v="Returning"/>
    <n v="1"/>
    <n v="6500"/>
    <x v="3"/>
    <n v="5850"/>
    <n v="2200"/>
    <x v="1"/>
    <s v="Chinedu"/>
    <n v="5850"/>
    <n v="0"/>
    <n v="2200"/>
    <n v="3650"/>
    <n v="4"/>
    <b v="0"/>
    <n v="11"/>
    <b v="0"/>
  </r>
  <r>
    <n v="100174"/>
    <x v="121"/>
    <s v="LG-01"/>
    <s v="Lagos"/>
    <x v="2"/>
    <s v="Accessories"/>
    <s v="USB Cable"/>
    <s v="C1096"/>
    <s v="Returning"/>
    <n v="2"/>
    <n v="6500"/>
    <x v="4"/>
    <n v="11050"/>
    <n v="2200"/>
    <x v="0"/>
    <s v="Aisha"/>
    <n v="11050"/>
    <n v="0"/>
    <n v="4400"/>
    <n v="6650"/>
    <n v="5"/>
    <b v="0"/>
    <n v="11"/>
    <b v="0"/>
  </r>
  <r>
    <n v="100175"/>
    <x v="42"/>
    <s v="AB-02"/>
    <s v="Abuja"/>
    <x v="2"/>
    <s v="Home"/>
    <s v="Electric Kettle"/>
    <s v="C1102"/>
    <s v="Returning"/>
    <n v="5"/>
    <n v="24000"/>
    <x v="5"/>
    <n v="90000"/>
    <n v="15000"/>
    <x v="0"/>
    <s v="David"/>
    <n v="90000"/>
    <n v="0"/>
    <n v="75000"/>
    <n v="15000"/>
    <n v="5"/>
    <b v="0"/>
    <n v="4"/>
    <b v="0"/>
  </r>
  <r>
    <n v="100176"/>
    <x v="63"/>
    <s v="IB-01"/>
    <s v="Ibadan"/>
    <x v="1"/>
    <s v="Accessories"/>
    <s v="Phone Case"/>
    <s v="C1134"/>
    <s v="New"/>
    <n v="2"/>
    <n v="9000"/>
    <x v="3"/>
    <n v="16200"/>
    <n v="3500"/>
    <x v="0"/>
    <s v="Ibrahim"/>
    <n v="16200"/>
    <n v="0"/>
    <n v="7000"/>
    <n v="9200"/>
    <n v="6"/>
    <b v="0"/>
    <n v="11"/>
    <b v="0"/>
  </r>
  <r>
    <n v="100177"/>
    <x v="44"/>
    <s v="AB-02"/>
    <s v="Abuja"/>
    <x v="0"/>
    <s v="Home"/>
    <s v="Standing Fan"/>
    <s v="C1123"/>
    <s v="New"/>
    <n v="1"/>
    <n v="58000"/>
    <x v="2"/>
    <n v="46400"/>
    <n v="39000"/>
    <x v="0"/>
    <s v="Kemi"/>
    <n v="46400"/>
    <n v="0"/>
    <n v="39000"/>
    <n v="7400"/>
    <n v="5"/>
    <b v="0"/>
    <n v="4"/>
    <b v="0"/>
  </r>
  <r>
    <n v="100178"/>
    <x v="122"/>
    <s v="KN-01"/>
    <s v="Kano"/>
    <x v="2"/>
    <s v="Accessories"/>
    <s v="USB Cable"/>
    <s v="C1029"/>
    <s v="Returning"/>
    <n v="2"/>
    <n v="6500"/>
    <x v="4"/>
    <n v="11050"/>
    <n v="2200"/>
    <x v="0"/>
    <s v="Grace"/>
    <n v="11050"/>
    <n v="0"/>
    <n v="4400"/>
    <n v="6650"/>
    <n v="4"/>
    <b v="0"/>
    <n v="11"/>
    <b v="0"/>
  </r>
  <r>
    <n v="100179"/>
    <x v="69"/>
    <s v="KN-01"/>
    <s v="Kano"/>
    <x v="2"/>
    <s v="Electronics"/>
    <s v="Earbuds"/>
    <s v="C1120"/>
    <s v="Returning"/>
    <n v="5"/>
    <n v="32000"/>
    <x v="4"/>
    <n v="136000"/>
    <n v="19000"/>
    <x v="0"/>
    <s v="Grace"/>
    <n v="136000"/>
    <n v="0"/>
    <n v="95000"/>
    <n v="41000"/>
    <n v="4"/>
    <b v="0"/>
    <n v="11"/>
    <b v="0"/>
  </r>
  <r>
    <n v="100180"/>
    <x v="0"/>
    <s v="LG-02"/>
    <s v="Lagos"/>
    <x v="2"/>
    <s v="Accessories"/>
    <s v="Backpack"/>
    <s v="C1161"/>
    <s v="New"/>
    <n v="3"/>
    <n v="28000"/>
    <x v="1"/>
    <n v="79800"/>
    <n v="16000"/>
    <x v="0"/>
    <s v="Chinedu"/>
    <n v="79800"/>
    <n v="0"/>
    <n v="48000"/>
    <n v="31800"/>
    <n v="5"/>
    <b v="0"/>
    <n v="11"/>
    <b v="0"/>
  </r>
  <r>
    <n v="100181"/>
    <x v="21"/>
    <s v="PH-01"/>
    <s v="Port Harcourt"/>
    <x v="1"/>
    <s v="Home"/>
    <s v="Electric Kettle"/>
    <s v="C1112"/>
    <s v="Returning"/>
    <n v="1"/>
    <n v="24000"/>
    <x v="3"/>
    <n v="21600"/>
    <n v="15000"/>
    <x v="1"/>
    <s v="Chinedu"/>
    <n v="21600"/>
    <n v="0"/>
    <n v="15000"/>
    <n v="6600"/>
    <n v="13"/>
    <b v="0"/>
    <n v="4"/>
    <b v="0"/>
  </r>
  <r>
    <n v="100182"/>
    <x v="123"/>
    <s v="AB-01"/>
    <s v="Abuja"/>
    <x v="1"/>
    <s v="Accessories"/>
    <s v="Backpack"/>
    <s v="C1097"/>
    <s v="Returning"/>
    <n v="2"/>
    <n v="28000"/>
    <x v="2"/>
    <n v="44800"/>
    <n v="16000"/>
    <x v="1"/>
    <s v="Kemi"/>
    <n v="44800"/>
    <n v="0"/>
    <n v="32000"/>
    <n v="12800"/>
    <n v="5"/>
    <b v="0"/>
    <n v="11"/>
    <b v="0"/>
  </r>
  <r>
    <n v="100183"/>
    <x v="124"/>
    <s v="IB-01"/>
    <s v="Ibadan"/>
    <x v="2"/>
    <s v="Home"/>
    <s v="Standing Fan"/>
    <s v="C1061"/>
    <s v="Returning"/>
    <n v="5"/>
    <n v="58000"/>
    <x v="4"/>
    <n v="246500"/>
    <n v="39000"/>
    <x v="0"/>
    <s v="Grace"/>
    <n v="246500"/>
    <n v="0"/>
    <n v="195000"/>
    <n v="51500"/>
    <n v="6"/>
    <b v="0"/>
    <n v="4"/>
    <b v="0"/>
  </r>
  <r>
    <n v="100184"/>
    <x v="125"/>
    <s v="LG-02"/>
    <s v="Lagos"/>
    <x v="2"/>
    <s v="Home"/>
    <s v="Blender"/>
    <s v="C1102"/>
    <s v="New"/>
    <n v="1"/>
    <n v="42000"/>
    <x v="0"/>
    <n v="42000"/>
    <n v="28000"/>
    <x v="0"/>
    <s v="David"/>
    <n v="42000"/>
    <n v="0"/>
    <n v="28000"/>
    <n v="14000"/>
    <n v="5"/>
    <b v="0"/>
    <n v="4"/>
    <b v="0"/>
  </r>
  <r>
    <n v="100185"/>
    <x v="37"/>
    <s v="AB-01"/>
    <s v="Abuja"/>
    <x v="0"/>
    <s v="Home"/>
    <s v="Blender"/>
    <s v="C1165"/>
    <s v="Returning"/>
    <n v="2"/>
    <n v="42000"/>
    <x v="4"/>
    <n v="71400"/>
    <n v="28000"/>
    <x v="0"/>
    <s v="Kemi"/>
    <n v="71400"/>
    <n v="0"/>
    <n v="56000"/>
    <n v="15400"/>
    <n v="5"/>
    <b v="0"/>
    <n v="4"/>
    <b v="0"/>
  </r>
  <r>
    <n v="100186"/>
    <x v="126"/>
    <s v="AB-02"/>
    <s v="Abuja"/>
    <x v="1"/>
    <s v="Accessories"/>
    <s v="Phone Case"/>
    <s v="C1014"/>
    <s v="New"/>
    <n v="2"/>
    <n v="9000"/>
    <x v="1"/>
    <n v="17100"/>
    <n v="3500"/>
    <x v="0"/>
    <s v="Grace"/>
    <n v="17100"/>
    <n v="0"/>
    <n v="7000"/>
    <n v="10100"/>
    <n v="5"/>
    <b v="0"/>
    <n v="11"/>
    <b v="0"/>
  </r>
  <r>
    <n v="100187"/>
    <x v="127"/>
    <s v="KN-01"/>
    <s v="Kano"/>
    <x v="2"/>
    <s v="Home"/>
    <s v="Standing Fan"/>
    <s v="C1181"/>
    <s v="New"/>
    <n v="2"/>
    <n v="58000"/>
    <x v="3"/>
    <n v="104400"/>
    <n v="39000"/>
    <x v="0"/>
    <s v="Ibrahim"/>
    <n v="104400"/>
    <n v="0"/>
    <n v="78000"/>
    <n v="26400"/>
    <n v="4"/>
    <b v="0"/>
    <n v="4"/>
    <b v="0"/>
  </r>
  <r>
    <n v="100188"/>
    <x v="128"/>
    <s v="KN-01"/>
    <s v="Kano"/>
    <x v="1"/>
    <s v="Electronics"/>
    <s v="Earbuds"/>
    <s v="C1170"/>
    <s v="New"/>
    <n v="1"/>
    <n v="32000"/>
    <x v="3"/>
    <n v="28800"/>
    <n v="19000"/>
    <x v="0"/>
    <s v="Kemi"/>
    <n v="28800"/>
    <n v="0"/>
    <n v="19000"/>
    <n v="9800"/>
    <n v="4"/>
    <b v="0"/>
    <n v="11"/>
    <b v="0"/>
  </r>
  <r>
    <n v="100189"/>
    <x v="129"/>
    <s v="AB-02"/>
    <s v="Abuja"/>
    <x v="0"/>
    <s v="Accessories"/>
    <s v="USB Cable"/>
    <s v="C1117"/>
    <s v="Returning"/>
    <n v="1"/>
    <n v="6500"/>
    <x v="1"/>
    <n v="6175"/>
    <n v="2200"/>
    <x v="0"/>
    <s v="Chinedu"/>
    <n v="6175"/>
    <n v="0"/>
    <n v="2200"/>
    <n v="3975"/>
    <n v="5"/>
    <b v="0"/>
    <n v="11"/>
    <b v="0"/>
  </r>
  <r>
    <n v="100190"/>
    <x v="119"/>
    <s v="LG-01"/>
    <s v="Lagos"/>
    <x v="0"/>
    <s v="Home"/>
    <s v="Blender"/>
    <s v="C1022"/>
    <s v="Returning"/>
    <n v="2"/>
    <n v="42000"/>
    <x v="4"/>
    <n v="71400"/>
    <n v="28000"/>
    <x v="0"/>
    <s v="Bola"/>
    <n v="71400"/>
    <n v="0"/>
    <n v="56000"/>
    <n v="15400"/>
    <n v="5"/>
    <b v="0"/>
    <n v="4"/>
    <b v="0"/>
  </r>
  <r>
    <n v="100191"/>
    <x v="130"/>
    <s v="IB-01"/>
    <s v="Ibadan"/>
    <x v="2"/>
    <s v="Accessories"/>
    <s v="USB Cable"/>
    <s v="C1026"/>
    <s v="New"/>
    <n v="3"/>
    <n v="6500"/>
    <x v="3"/>
    <n v="17550"/>
    <n v="2200"/>
    <x v="0"/>
    <s v="David"/>
    <n v="17550"/>
    <n v="0"/>
    <n v="6600"/>
    <n v="10950"/>
    <n v="6"/>
    <b v="0"/>
    <n v="11"/>
    <b v="0"/>
  </r>
  <r>
    <n v="100192"/>
    <x v="131"/>
    <s v="KN-01"/>
    <s v="Kano"/>
    <x v="1"/>
    <s v="Electronics"/>
    <s v="Smartphone"/>
    <s v="C1128"/>
    <s v="Returning"/>
    <n v="2"/>
    <n v="165000"/>
    <x v="3"/>
    <n v="267300"/>
    <n v="112000"/>
    <x v="0"/>
    <s v="David"/>
    <n v="297000"/>
    <n v="-29700"/>
    <n v="224000"/>
    <n v="73000"/>
    <n v="4"/>
    <b v="0"/>
    <n v="11"/>
    <b v="0"/>
  </r>
  <r>
    <n v="100193"/>
    <x v="65"/>
    <s v="PH-01"/>
    <s v="Port Harcourt"/>
    <x v="1"/>
    <s v="Electronics"/>
    <s v="Power Bank"/>
    <s v="C1112"/>
    <s v="New"/>
    <n v="3"/>
    <n v="26000"/>
    <x v="3"/>
    <n v="70200"/>
    <n v="15000"/>
    <x v="0"/>
    <s v="Bola"/>
    <n v="70200"/>
    <n v="0"/>
    <n v="45000"/>
    <n v="25200"/>
    <n v="13"/>
    <b v="0"/>
    <n v="11"/>
    <b v="0"/>
  </r>
  <r>
    <n v="100194"/>
    <x v="132"/>
    <s v="AB-02"/>
    <s v="Abuja"/>
    <x v="0"/>
    <s v="Electronics"/>
    <s v="Smartphone"/>
    <s v="C1150"/>
    <s v="Returning"/>
    <n v="3"/>
    <n v="165000"/>
    <x v="5"/>
    <n v="371250"/>
    <n v="112000"/>
    <x v="0"/>
    <s v="Bola"/>
    <n v="371250"/>
    <n v="0"/>
    <n v="336000"/>
    <n v="35250"/>
    <n v="5"/>
    <b v="0"/>
    <n v="11"/>
    <b v="0"/>
  </r>
  <r>
    <n v="100195"/>
    <x v="29"/>
    <s v="PH-01"/>
    <s v="Port Harcourt"/>
    <x v="2"/>
    <s v="Home"/>
    <s v="Electric Kettle"/>
    <s v="C1188"/>
    <s v="New"/>
    <n v="2"/>
    <n v="24000"/>
    <x v="1"/>
    <n v="45600"/>
    <n v="15000"/>
    <x v="0"/>
    <s v="Ibrahim"/>
    <n v="45600"/>
    <n v="0"/>
    <n v="30000"/>
    <n v="15600"/>
    <n v="13"/>
    <b v="0"/>
    <n v="4"/>
    <b v="0"/>
  </r>
  <r>
    <n v="100196"/>
    <x v="133"/>
    <s v="LG-02"/>
    <s v="Lagos"/>
    <x v="2"/>
    <s v="Electronics"/>
    <s v="Earbuds"/>
    <s v="C1147"/>
    <s v="Returning"/>
    <n v="4"/>
    <n v="32000"/>
    <x v="3"/>
    <n v="115200"/>
    <n v="19000"/>
    <x v="0"/>
    <s v="Grace"/>
    <n v="115200"/>
    <n v="0"/>
    <n v="76000"/>
    <n v="39200"/>
    <n v="5"/>
    <b v="0"/>
    <n v="11"/>
    <b v="0"/>
  </r>
  <r>
    <n v="100197"/>
    <x v="134"/>
    <s v="AB-01"/>
    <s v="Abuja"/>
    <x v="1"/>
    <s v="Accessories"/>
    <s v="Phone Case"/>
    <s v="C1152"/>
    <s v="Returning"/>
    <n v="1"/>
    <n v="9000"/>
    <x v="5"/>
    <n v="6750"/>
    <n v="3500"/>
    <x v="1"/>
    <s v="Kemi"/>
    <n v="6750"/>
    <n v="0"/>
    <n v="3500"/>
    <n v="3250"/>
    <n v="5"/>
    <b v="0"/>
    <n v="11"/>
    <b v="0"/>
  </r>
  <r>
    <n v="100198"/>
    <x v="25"/>
    <s v="KN-01"/>
    <s v="Kano"/>
    <x v="1"/>
    <s v="Electronics"/>
    <s v="Smartphone"/>
    <s v="C1024"/>
    <s v="Returning"/>
    <n v="2"/>
    <n v="165000"/>
    <x v="1"/>
    <n v="313500"/>
    <n v="112000"/>
    <x v="0"/>
    <s v="Fatima"/>
    <n v="313500"/>
    <n v="0"/>
    <n v="224000"/>
    <n v="89500"/>
    <n v="4"/>
    <b v="0"/>
    <n v="11"/>
    <b v="0"/>
  </r>
  <r>
    <n v="100199"/>
    <x v="128"/>
    <s v="IB-01"/>
    <s v="Ibadan"/>
    <x v="0"/>
    <s v="Accessories"/>
    <s v="Backpack"/>
    <s v="C1135"/>
    <s v="Returning"/>
    <n v="2"/>
    <n v="28000"/>
    <x v="1"/>
    <n v="53200"/>
    <n v="16000"/>
    <x v="0"/>
    <s v="David"/>
    <n v="53200"/>
    <n v="0"/>
    <n v="32000"/>
    <n v="21200"/>
    <n v="6"/>
    <b v="0"/>
    <n v="11"/>
    <b v="0"/>
  </r>
  <r>
    <n v="100200"/>
    <x v="68"/>
    <s v="KN-01"/>
    <s v="Kano"/>
    <x v="2"/>
    <s v="Accessories"/>
    <s v="Backpack"/>
    <s v="C1108"/>
    <s v="Returning"/>
    <n v="2"/>
    <n v="28000"/>
    <x v="1"/>
    <n v="53200"/>
    <n v="16000"/>
    <x v="0"/>
    <s v="Ibrahim"/>
    <n v="53200"/>
    <n v="0"/>
    <n v="32000"/>
    <n v="21200"/>
    <n v="4"/>
    <b v="0"/>
    <n v="11"/>
    <b v="0"/>
  </r>
  <r>
    <n v="100201"/>
    <x v="135"/>
    <s v="KN-01"/>
    <s v="Kano"/>
    <x v="1"/>
    <s v="Accessories"/>
    <s v="USB Cable"/>
    <s v="C1161"/>
    <s v="New"/>
    <n v="4"/>
    <n v="6500"/>
    <x v="0"/>
    <n v="26000"/>
    <n v="2200"/>
    <x v="1"/>
    <s v="Aisha"/>
    <n v="26000"/>
    <n v="0"/>
    <n v="8800"/>
    <n v="17200"/>
    <n v="4"/>
    <b v="0"/>
    <n v="11"/>
    <b v="0"/>
  </r>
  <r>
    <n v="100202"/>
    <x v="15"/>
    <s v="AB-01"/>
    <s v="Abuja"/>
    <x v="1"/>
    <s v="Accessories"/>
    <s v="USB Cable"/>
    <s v="C1097"/>
    <s v="New"/>
    <n v="1"/>
    <n v="6500"/>
    <x v="1"/>
    <n v="6175"/>
    <n v="2200"/>
    <x v="0"/>
    <s v="Fatima"/>
    <n v="6175"/>
    <n v="0"/>
    <n v="2200"/>
    <n v="3975"/>
    <n v="5"/>
    <b v="0"/>
    <n v="11"/>
    <b v="0"/>
  </r>
  <r>
    <n v="100203"/>
    <x v="38"/>
    <s v="AB-01"/>
    <s v="Abuja"/>
    <x v="2"/>
    <s v="Electronics"/>
    <s v="Smartphone"/>
    <s v="C1062"/>
    <s v="Returning"/>
    <n v="1"/>
    <n v="165000"/>
    <x v="5"/>
    <n v="123750"/>
    <n v="112000"/>
    <x v="0"/>
    <s v="Ibrahim"/>
    <n v="123750"/>
    <n v="0"/>
    <n v="112000"/>
    <n v="11750"/>
    <n v="5"/>
    <b v="0"/>
    <n v="11"/>
    <b v="0"/>
  </r>
  <r>
    <n v="100204"/>
    <x v="136"/>
    <s v="AB-02"/>
    <s v="Abuja"/>
    <x v="2"/>
    <s v="Accessories"/>
    <s v="Phone Case"/>
    <s v="C1021"/>
    <s v="Returning"/>
    <n v="3"/>
    <n v="9000"/>
    <x v="5"/>
    <n v="20250"/>
    <n v="3500"/>
    <x v="0"/>
    <s v="Fatima"/>
    <n v="20250"/>
    <n v="0"/>
    <n v="10500"/>
    <n v="9750"/>
    <n v="5"/>
    <b v="0"/>
    <n v="11"/>
    <b v="0"/>
  </r>
  <r>
    <n v="100205"/>
    <x v="16"/>
    <s v="PH-01"/>
    <s v="Port Harcourt"/>
    <x v="1"/>
    <s v="Home"/>
    <s v="Electric Kettle"/>
    <s v="C1131"/>
    <s v="New"/>
    <n v="5"/>
    <n v="24000"/>
    <x v="3"/>
    <n v="108000"/>
    <n v="15000"/>
    <x v="0"/>
    <s v="Grace"/>
    <n v="108000"/>
    <n v="0"/>
    <n v="75000"/>
    <n v="33000"/>
    <n v="13"/>
    <b v="0"/>
    <n v="4"/>
    <b v="0"/>
  </r>
  <r>
    <n v="100206"/>
    <x v="137"/>
    <s v="LG-02"/>
    <s v="Lagos"/>
    <x v="0"/>
    <s v="Home"/>
    <s v="Standing Fan"/>
    <s v="C1097"/>
    <s v="New"/>
    <n v="1"/>
    <n v="58000"/>
    <x v="4"/>
    <n v="49300"/>
    <n v="39000"/>
    <x v="0"/>
    <s v="Aisha"/>
    <n v="49300"/>
    <n v="0"/>
    <n v="39000"/>
    <n v="10300"/>
    <n v="5"/>
    <b v="0"/>
    <n v="4"/>
    <b v="0"/>
  </r>
  <r>
    <n v="100207"/>
    <x v="89"/>
    <s v="IB-01"/>
    <s v="Ibadan"/>
    <x v="2"/>
    <s v="Electronics"/>
    <s v="Smartphone"/>
    <s v="C1166"/>
    <s v="Returning"/>
    <n v="1"/>
    <n v="165000"/>
    <x v="3"/>
    <n v="148500"/>
    <n v="112000"/>
    <x v="0"/>
    <s v="Kemi"/>
    <n v="148500"/>
    <n v="0"/>
    <n v="112000"/>
    <n v="36500"/>
    <n v="6"/>
    <b v="0"/>
    <n v="11"/>
    <b v="0"/>
  </r>
  <r>
    <n v="100208"/>
    <x v="101"/>
    <s v="AB-02"/>
    <s v="Abuja"/>
    <x v="2"/>
    <s v="Home"/>
    <s v="Standing Fan"/>
    <s v="C1076"/>
    <s v="Returning"/>
    <n v="2"/>
    <n v="58000"/>
    <x v="4"/>
    <n v="98600"/>
    <n v="39000"/>
    <x v="0"/>
    <s v="Kemi"/>
    <n v="98600"/>
    <n v="0"/>
    <n v="78000"/>
    <n v="20600"/>
    <n v="5"/>
    <b v="0"/>
    <n v="4"/>
    <b v="0"/>
  </r>
  <r>
    <n v="100209"/>
    <x v="138"/>
    <s v="KN-01"/>
    <s v="Kano"/>
    <x v="2"/>
    <s v="Electronics"/>
    <s v="Power Bank"/>
    <s v="C1145"/>
    <s v="Returning"/>
    <n v="3"/>
    <n v="26000"/>
    <x v="0"/>
    <n v="78000"/>
    <n v="15000"/>
    <x v="0"/>
    <s v="Kemi"/>
    <n v="78000"/>
    <n v="0"/>
    <n v="45000"/>
    <n v="33000"/>
    <n v="4"/>
    <b v="0"/>
    <n v="11"/>
    <b v="0"/>
  </r>
  <r>
    <n v="100210"/>
    <x v="139"/>
    <s v="PH-01"/>
    <s v="Port Harcourt"/>
    <x v="2"/>
    <s v="Electronics"/>
    <s v="Earbuds"/>
    <s v="C1119"/>
    <s v="Returning"/>
    <n v="1"/>
    <n v="32000"/>
    <x v="0"/>
    <n v="32000"/>
    <n v="19000"/>
    <x v="0"/>
    <s v="Grace"/>
    <n v="32000"/>
    <n v="0"/>
    <n v="19000"/>
    <n v="13000"/>
    <n v="13"/>
    <b v="0"/>
    <n v="11"/>
    <b v="0"/>
  </r>
  <r>
    <n v="100211"/>
    <x v="90"/>
    <s v="KN-01"/>
    <s v="Kano"/>
    <x v="2"/>
    <s v="Home"/>
    <s v="Blender"/>
    <s v="C1081"/>
    <s v="Returning"/>
    <n v="4"/>
    <n v="42000"/>
    <x v="0"/>
    <n v="168000"/>
    <n v="28000"/>
    <x v="0"/>
    <s v="Fatima"/>
    <n v="168000"/>
    <n v="0"/>
    <n v="112000"/>
    <n v="56000"/>
    <n v="4"/>
    <b v="0"/>
    <n v="4"/>
    <b v="0"/>
  </r>
  <r>
    <n v="100212"/>
    <x v="140"/>
    <s v="IB-01"/>
    <s v="Ibadan"/>
    <x v="1"/>
    <s v="Home"/>
    <s v="Electric Kettle"/>
    <s v="C1156"/>
    <s v="Returning"/>
    <n v="2"/>
    <n v="24000"/>
    <x v="4"/>
    <n v="40800"/>
    <n v="15000"/>
    <x v="0"/>
    <s v="Ibrahim"/>
    <n v="40800"/>
    <n v="0"/>
    <n v="30000"/>
    <n v="10800"/>
    <n v="6"/>
    <b v="0"/>
    <n v="4"/>
    <b v="0"/>
  </r>
  <r>
    <n v="100213"/>
    <x v="141"/>
    <s v="AB-02"/>
    <s v="Abuja"/>
    <x v="2"/>
    <s v="Electronics"/>
    <s v="Smartphone"/>
    <s v="C1085"/>
    <s v="New"/>
    <n v="2"/>
    <n v="165000"/>
    <x v="4"/>
    <n v="280500"/>
    <n v="112000"/>
    <x v="0"/>
    <s v="Fatima"/>
    <n v="280500"/>
    <n v="0"/>
    <n v="224000"/>
    <n v="56500"/>
    <n v="5"/>
    <b v="0"/>
    <n v="11"/>
    <b v="0"/>
  </r>
  <r>
    <n v="100214"/>
    <x v="59"/>
    <s v="LG-01"/>
    <s v="Lagos"/>
    <x v="2"/>
    <s v="Accessories"/>
    <s v="USB Cable"/>
    <s v="C1165"/>
    <s v="New"/>
    <n v="2"/>
    <n v="6500"/>
    <x v="1"/>
    <n v="12350"/>
    <n v="2200"/>
    <x v="0"/>
    <s v="Grace"/>
    <n v="12350"/>
    <n v="0"/>
    <n v="4400"/>
    <n v="7950"/>
    <n v="5"/>
    <b v="0"/>
    <n v="11"/>
    <b v="0"/>
  </r>
  <r>
    <n v="100215"/>
    <x v="142"/>
    <s v="KN-01"/>
    <s v="Kano"/>
    <x v="2"/>
    <s v="Electronics"/>
    <s v="Power Bank"/>
    <s v="C1024"/>
    <s v="New"/>
    <n v="3"/>
    <n v="26000"/>
    <x v="0"/>
    <n v="78000"/>
    <n v="15000"/>
    <x v="0"/>
    <s v="Grace"/>
    <n v="78000"/>
    <n v="0"/>
    <n v="45000"/>
    <n v="33000"/>
    <n v="4"/>
    <b v="0"/>
    <n v="11"/>
    <b v="0"/>
  </r>
  <r>
    <n v="100216"/>
    <x v="51"/>
    <s v="LG-01"/>
    <s v="Lagos"/>
    <x v="1"/>
    <s v="Accessories"/>
    <s v="USB Cable"/>
    <s v="C1076"/>
    <s v="New"/>
    <n v="4"/>
    <n v="6500"/>
    <x v="0"/>
    <n v="26000"/>
    <n v="2200"/>
    <x v="0"/>
    <s v="Chinedu"/>
    <n v="26000"/>
    <n v="0"/>
    <n v="8800"/>
    <n v="17200"/>
    <n v="5"/>
    <b v="0"/>
    <n v="11"/>
    <b v="0"/>
  </r>
  <r>
    <n v="100217"/>
    <x v="109"/>
    <s v="LG-02"/>
    <s v="Lagos"/>
    <x v="1"/>
    <s v="Home"/>
    <s v="Electric Kettle"/>
    <s v="C1144"/>
    <s v="Returning"/>
    <n v="2"/>
    <n v="24000"/>
    <x v="1"/>
    <n v="45600"/>
    <n v="15000"/>
    <x v="0"/>
    <s v="Fatima"/>
    <n v="45600"/>
    <n v="0"/>
    <n v="30000"/>
    <n v="15600"/>
    <n v="5"/>
    <b v="0"/>
    <n v="4"/>
    <b v="0"/>
  </r>
  <r>
    <n v="100218"/>
    <x v="11"/>
    <s v="LG-02"/>
    <s v="Lagos"/>
    <x v="0"/>
    <s v="Home"/>
    <s v="Standing Fan"/>
    <s v="C1098"/>
    <s v="New"/>
    <n v="3"/>
    <n v="58000"/>
    <x v="1"/>
    <n v="165300"/>
    <n v="39000"/>
    <x v="0"/>
    <s v="Fatima"/>
    <n v="165300"/>
    <n v="0"/>
    <n v="117000"/>
    <n v="48300"/>
    <n v="5"/>
    <b v="0"/>
    <n v="4"/>
    <b v="0"/>
  </r>
  <r>
    <n v="100219"/>
    <x v="143"/>
    <s v="PH-01"/>
    <s v="Port Harcourt"/>
    <x v="2"/>
    <s v="Home"/>
    <s v="Standing Fan"/>
    <s v="C1107"/>
    <s v="Returning"/>
    <n v="5"/>
    <n v="58000"/>
    <x v="4"/>
    <n v="246500"/>
    <n v="39000"/>
    <x v="0"/>
    <s v="Grace"/>
    <n v="246500"/>
    <n v="0"/>
    <n v="195000"/>
    <n v="51500"/>
    <n v="13"/>
    <b v="0"/>
    <n v="4"/>
    <b v="0"/>
  </r>
  <r>
    <n v="100220"/>
    <x v="68"/>
    <s v="KN-01"/>
    <s v="Kano"/>
    <x v="0"/>
    <s v="Electronics"/>
    <s v="Power Bank"/>
    <s v="C1104"/>
    <s v="Returning"/>
    <n v="2"/>
    <n v="26000"/>
    <x v="0"/>
    <n v="52000"/>
    <n v="15000"/>
    <x v="0"/>
    <s v="Chinedu"/>
    <n v="52000"/>
    <n v="0"/>
    <n v="30000"/>
    <n v="22000"/>
    <n v="4"/>
    <b v="0"/>
    <n v="11"/>
    <b v="0"/>
  </r>
  <r>
    <n v="100221"/>
    <x v="56"/>
    <s v="IB-01"/>
    <s v="Ibadan"/>
    <x v="2"/>
    <s v="Accessories"/>
    <s v="Backpack"/>
    <s v="C1003"/>
    <s v="Returning"/>
    <n v="3"/>
    <n v="28000"/>
    <x v="3"/>
    <n v="75600"/>
    <n v="16000"/>
    <x v="0"/>
    <s v="Fatima"/>
    <n v="75600"/>
    <n v="0"/>
    <n v="48000"/>
    <n v="27600"/>
    <n v="6"/>
    <b v="0"/>
    <n v="11"/>
    <b v="0"/>
  </r>
  <r>
    <n v="100222"/>
    <x v="63"/>
    <s v="AB-02"/>
    <s v="Abuja"/>
    <x v="0"/>
    <s v="Home"/>
    <s v="Standing Fan"/>
    <s v="C1178"/>
    <s v="New"/>
    <n v="3"/>
    <n v="58000"/>
    <x v="5"/>
    <n v="130500"/>
    <n v="39000"/>
    <x v="1"/>
    <s v="Ibrahim"/>
    <n v="130500"/>
    <n v="0"/>
    <n v="117000"/>
    <n v="13500"/>
    <n v="5"/>
    <b v="0"/>
    <n v="4"/>
    <b v="0"/>
  </r>
  <r>
    <n v="100223"/>
    <x v="132"/>
    <s v="PH-01"/>
    <s v="Port Harcourt"/>
    <x v="0"/>
    <s v="Home"/>
    <s v="Blender"/>
    <s v="C1033"/>
    <s v="Returning"/>
    <n v="3"/>
    <n v="42000"/>
    <x v="4"/>
    <n v="107100"/>
    <n v="28000"/>
    <x v="0"/>
    <s v="David"/>
    <n v="107100"/>
    <n v="0"/>
    <n v="84000"/>
    <n v="23100"/>
    <n v="13"/>
    <b v="0"/>
    <n v="4"/>
    <b v="0"/>
  </r>
  <r>
    <n v="100224"/>
    <x v="64"/>
    <s v="LG-02"/>
    <s v="Lagos"/>
    <x v="1"/>
    <s v="Electronics"/>
    <s v="Earbuds"/>
    <s v="C1013"/>
    <s v="Returning"/>
    <n v="1"/>
    <n v="32000"/>
    <x v="3"/>
    <n v="28800"/>
    <n v="19000"/>
    <x v="0"/>
    <s v="Grace"/>
    <n v="28800"/>
    <n v="0"/>
    <n v="19000"/>
    <n v="9800"/>
    <n v="5"/>
    <b v="0"/>
    <n v="11"/>
    <b v="0"/>
  </r>
  <r>
    <n v="100225"/>
    <x v="2"/>
    <s v="KN-01"/>
    <s v="Kano"/>
    <x v="1"/>
    <s v="Home"/>
    <s v="Electric Kettle"/>
    <s v="C1126"/>
    <s v="New"/>
    <n v="1"/>
    <n v="24000"/>
    <x v="1"/>
    <n v="22800"/>
    <n v="15000"/>
    <x v="0"/>
    <s v="Kemi"/>
    <n v="22800"/>
    <n v="0"/>
    <n v="15000"/>
    <n v="7800"/>
    <n v="4"/>
    <b v="0"/>
    <n v="4"/>
    <b v="0"/>
  </r>
  <r>
    <n v="100226"/>
    <x v="144"/>
    <s v="IB-01"/>
    <s v="Ibadan"/>
    <x v="2"/>
    <s v="Home"/>
    <s v="Electric Kettle"/>
    <s v="C1032"/>
    <s v="Returning"/>
    <n v="1"/>
    <n v="24000"/>
    <x v="1"/>
    <n v="22800"/>
    <n v="15000"/>
    <x v="0"/>
    <s v="Fatima"/>
    <n v="22800"/>
    <n v="0"/>
    <n v="15000"/>
    <n v="7800"/>
    <n v="6"/>
    <b v="0"/>
    <n v="4"/>
    <b v="0"/>
  </r>
  <r>
    <n v="100227"/>
    <x v="52"/>
    <s v="PH-01"/>
    <s v="Port Harcourt"/>
    <x v="2"/>
    <s v="Home"/>
    <s v="Standing Fan"/>
    <s v="C1137"/>
    <s v="Returning"/>
    <n v="2"/>
    <n v="58000"/>
    <x v="0"/>
    <n v="116000"/>
    <n v="39000"/>
    <x v="0"/>
    <s v="Aisha"/>
    <n v="116000"/>
    <n v="0"/>
    <n v="78000"/>
    <n v="38000"/>
    <n v="13"/>
    <b v="0"/>
    <n v="4"/>
    <b v="0"/>
  </r>
  <r>
    <n v="100228"/>
    <x v="136"/>
    <s v="LG-01"/>
    <s v="Lagos"/>
    <x v="2"/>
    <s v="Electronics"/>
    <s v="Earbuds"/>
    <s v="C1059"/>
    <s v="New"/>
    <n v="3"/>
    <n v="32000"/>
    <x v="4"/>
    <n v="81600"/>
    <n v="19000"/>
    <x v="0"/>
    <s v="Chinedu"/>
    <n v="81600"/>
    <n v="0"/>
    <n v="57000"/>
    <n v="24600"/>
    <n v="5"/>
    <b v="0"/>
    <n v="11"/>
    <b v="0"/>
  </r>
  <r>
    <n v="100229"/>
    <x v="145"/>
    <s v="KN-01"/>
    <s v="Kano"/>
    <x v="1"/>
    <s v="Home"/>
    <s v="Standing Fan"/>
    <s v="C1126"/>
    <s v="Returning"/>
    <n v="1"/>
    <n v="58000"/>
    <x v="3"/>
    <n v="52200"/>
    <n v="39000"/>
    <x v="0"/>
    <s v="Chinedu"/>
    <n v="52200"/>
    <n v="0"/>
    <n v="39000"/>
    <n v="13200"/>
    <n v="4"/>
    <b v="0"/>
    <n v="4"/>
    <b v="0"/>
  </r>
  <r>
    <n v="100230"/>
    <x v="17"/>
    <s v="KN-01"/>
    <s v="Kano"/>
    <x v="2"/>
    <s v="Electronics"/>
    <s v="Power Bank"/>
    <s v="C1074"/>
    <s v="Returning"/>
    <n v="3"/>
    <n v="26000"/>
    <x v="4"/>
    <n v="66300"/>
    <n v="15000"/>
    <x v="0"/>
    <s v="Aisha"/>
    <n v="66300"/>
    <n v="0"/>
    <n v="45000"/>
    <n v="21300"/>
    <n v="4"/>
    <b v="0"/>
    <n v="11"/>
    <b v="0"/>
  </r>
  <r>
    <n v="100231"/>
    <x v="29"/>
    <s v="AB-01"/>
    <s v="Abuja"/>
    <x v="0"/>
    <s v="Electronics"/>
    <s v="Smartphone"/>
    <s v="C1142"/>
    <s v="Returning"/>
    <n v="1"/>
    <n v="165000"/>
    <x v="2"/>
    <n v="132000"/>
    <n v="112000"/>
    <x v="0"/>
    <s v="Grace"/>
    <n v="132000"/>
    <n v="0"/>
    <n v="112000"/>
    <n v="20000"/>
    <n v="5"/>
    <b v="0"/>
    <n v="11"/>
    <b v="0"/>
  </r>
  <r>
    <n v="100232"/>
    <x v="121"/>
    <s v="LG-01"/>
    <s v="Lagos"/>
    <x v="2"/>
    <s v="Electronics"/>
    <s v="Smartphone"/>
    <s v="C1059"/>
    <s v="New"/>
    <n v="1"/>
    <n v="165000"/>
    <x v="3"/>
    <n v="148500"/>
    <n v="112000"/>
    <x v="1"/>
    <s v="David"/>
    <n v="148500"/>
    <n v="0"/>
    <n v="112000"/>
    <n v="36500"/>
    <n v="5"/>
    <b v="0"/>
    <n v="11"/>
    <b v="0"/>
  </r>
  <r>
    <n v="100233"/>
    <x v="146"/>
    <s v="IB-01"/>
    <s v="Ibadan"/>
    <x v="2"/>
    <s v="Accessories"/>
    <s v="Phone Case"/>
    <s v="C1097"/>
    <s v="Returning"/>
    <n v="3"/>
    <n v="9000"/>
    <x v="4"/>
    <n v="27540"/>
    <n v="3500"/>
    <x v="0"/>
    <s v="David"/>
    <n v="22950"/>
    <n v="4590"/>
    <n v="10500"/>
    <n v="12450"/>
    <n v="6"/>
    <b v="0"/>
    <n v="11"/>
    <b v="0"/>
  </r>
  <r>
    <n v="100234"/>
    <x v="102"/>
    <s v="KN-01"/>
    <s v="Kano"/>
    <x v="1"/>
    <s v="Accessories"/>
    <s v="Phone Case"/>
    <s v="C1091"/>
    <s v="New"/>
    <n v="2"/>
    <n v="9000"/>
    <x v="3"/>
    <n v="16200"/>
    <n v="3500"/>
    <x v="0"/>
    <s v="Bola"/>
    <n v="16200"/>
    <n v="0"/>
    <n v="7000"/>
    <n v="9200"/>
    <n v="4"/>
    <b v="0"/>
    <n v="11"/>
    <b v="0"/>
  </r>
  <r>
    <n v="100235"/>
    <x v="83"/>
    <s v="IB-01"/>
    <s v="Ibadan"/>
    <x v="0"/>
    <s v="Home"/>
    <s v="Electric Kettle"/>
    <s v="C1064"/>
    <s v="New"/>
    <n v="2"/>
    <n v="24000"/>
    <x v="3"/>
    <n v="38880"/>
    <n v="15000"/>
    <x v="0"/>
    <s v="Aisha"/>
    <n v="43200"/>
    <n v="-4320"/>
    <n v="30000"/>
    <n v="13200"/>
    <n v="6"/>
    <b v="0"/>
    <n v="4"/>
    <b v="0"/>
  </r>
  <r>
    <n v="100236"/>
    <x v="147"/>
    <s v="KN-01"/>
    <s v="Kano"/>
    <x v="2"/>
    <s v="Accessories"/>
    <s v="USB Cable"/>
    <s v="C1021"/>
    <s v="Returning"/>
    <n v="3"/>
    <n v="6500"/>
    <x v="3"/>
    <n v="17550"/>
    <n v="2200"/>
    <x v="0"/>
    <s v="Grace"/>
    <n v="17550"/>
    <n v="0"/>
    <n v="6600"/>
    <n v="10950"/>
    <n v="4"/>
    <b v="0"/>
    <n v="11"/>
    <b v="0"/>
  </r>
  <r>
    <n v="100237"/>
    <x v="148"/>
    <s v="LG-01"/>
    <s v="Lagos"/>
    <x v="2"/>
    <s v="Electronics"/>
    <s v="Power Bank"/>
    <s v="C1054"/>
    <s v="New"/>
    <n v="4"/>
    <n v="26000"/>
    <x v="3"/>
    <n v="93600"/>
    <n v="15000"/>
    <x v="0"/>
    <s v="Ibrahim"/>
    <n v="93600"/>
    <n v="0"/>
    <n v="60000"/>
    <n v="33600"/>
    <n v="5"/>
    <b v="0"/>
    <n v="11"/>
    <b v="0"/>
  </r>
  <r>
    <n v="100238"/>
    <x v="20"/>
    <s v="PH-01"/>
    <s v="Port Harcourt"/>
    <x v="1"/>
    <s v="Home"/>
    <s v="Electric Kettle"/>
    <s v="C1025"/>
    <s v="New"/>
    <n v="2"/>
    <n v="24000"/>
    <x v="0"/>
    <n v="48000"/>
    <n v="15000"/>
    <x v="0"/>
    <s v="Bola"/>
    <n v="48000"/>
    <n v="0"/>
    <n v="30000"/>
    <n v="18000"/>
    <n v="13"/>
    <b v="0"/>
    <n v="4"/>
    <b v="0"/>
  </r>
  <r>
    <n v="100239"/>
    <x v="103"/>
    <s v="PH-01"/>
    <s v="Port Harcourt"/>
    <x v="0"/>
    <s v="Electronics"/>
    <s v="Smartphone"/>
    <s v="C1101"/>
    <s v="Returning"/>
    <n v="1"/>
    <n v="165000"/>
    <x v="4"/>
    <n v="140250"/>
    <n v="112000"/>
    <x v="0"/>
    <s v="Chinedu"/>
    <n v="140250"/>
    <n v="0"/>
    <n v="112000"/>
    <n v="28250"/>
    <n v="13"/>
    <b v="0"/>
    <n v="11"/>
    <b v="0"/>
  </r>
  <r>
    <n v="100240"/>
    <x v="106"/>
    <s v="LG-01"/>
    <s v="Lagos"/>
    <x v="1"/>
    <s v="Electronics"/>
    <s v="Power Bank"/>
    <s v="C1136"/>
    <s v="New"/>
    <n v="3"/>
    <n v="26000"/>
    <x v="4"/>
    <n v="66300"/>
    <n v="15000"/>
    <x v="0"/>
    <s v="Chinedu"/>
    <n v="66300"/>
    <n v="0"/>
    <n v="45000"/>
    <n v="21300"/>
    <n v="5"/>
    <b v="0"/>
    <n v="11"/>
    <b v="0"/>
  </r>
  <r>
    <n v="100241"/>
    <x v="149"/>
    <s v="LG-02"/>
    <s v="Lagos"/>
    <x v="1"/>
    <s v="Accessories"/>
    <s v="USB Cable"/>
    <s v="C1023"/>
    <s v="Returning"/>
    <n v="4"/>
    <n v="6500"/>
    <x v="3"/>
    <n v="23400"/>
    <n v="2200"/>
    <x v="0"/>
    <s v="Grace"/>
    <n v="23400"/>
    <n v="0"/>
    <n v="8800"/>
    <n v="14600"/>
    <n v="5"/>
    <b v="0"/>
    <n v="11"/>
    <b v="0"/>
  </r>
  <r>
    <n v="100242"/>
    <x v="6"/>
    <s v="KN-01"/>
    <s v="Kano"/>
    <x v="2"/>
    <s v="Home"/>
    <s v="Electric Kettle"/>
    <s v="C1116"/>
    <s v="New"/>
    <n v="2"/>
    <n v="24000"/>
    <x v="3"/>
    <n v="43200"/>
    <n v="15000"/>
    <x v="1"/>
    <s v="Kemi"/>
    <n v="43200"/>
    <n v="0"/>
    <n v="30000"/>
    <n v="13200"/>
    <n v="4"/>
    <b v="0"/>
    <n v="4"/>
    <b v="0"/>
  </r>
  <r>
    <n v="100243"/>
    <x v="124"/>
    <s v="LG-01"/>
    <s v="Lagos"/>
    <x v="1"/>
    <s v="Home"/>
    <s v="Electric Kettle"/>
    <s v="C1013"/>
    <s v="New"/>
    <n v="5"/>
    <n v="24000"/>
    <x v="3"/>
    <n v="108000"/>
    <n v="15000"/>
    <x v="0"/>
    <s v="Fatima"/>
    <n v="108000"/>
    <n v="0"/>
    <n v="75000"/>
    <n v="33000"/>
    <n v="5"/>
    <b v="0"/>
    <n v="4"/>
    <b v="0"/>
  </r>
  <r>
    <n v="100244"/>
    <x v="130"/>
    <s v="KN-01"/>
    <s v="Kano"/>
    <x v="0"/>
    <s v="Electronics"/>
    <s v="Power Bank"/>
    <s v="C1140"/>
    <s v="Returning"/>
    <n v="3"/>
    <n v="26000"/>
    <x v="1"/>
    <n v="74100"/>
    <n v="15000"/>
    <x v="0"/>
    <s v="Kemi"/>
    <n v="74100"/>
    <n v="0"/>
    <n v="45000"/>
    <n v="29100"/>
    <n v="4"/>
    <b v="0"/>
    <n v="11"/>
    <b v="0"/>
  </r>
  <r>
    <n v="100245"/>
    <x v="78"/>
    <s v="LG-02"/>
    <s v="Lagos"/>
    <x v="1"/>
    <s v="Accessories"/>
    <s v="Backpack"/>
    <s v="C1071"/>
    <s v="New"/>
    <n v="1"/>
    <n v="28000"/>
    <x v="4"/>
    <n v="23800"/>
    <n v="16000"/>
    <x v="0"/>
    <s v="Bola"/>
    <n v="23800"/>
    <n v="0"/>
    <n v="16000"/>
    <n v="7800"/>
    <n v="5"/>
    <b v="0"/>
    <n v="11"/>
    <b v="0"/>
  </r>
  <r>
    <n v="100246"/>
    <x v="150"/>
    <s v="KN-01"/>
    <s v="Kano"/>
    <x v="2"/>
    <s v="Electronics"/>
    <s v="Smartphone"/>
    <s v="C1045"/>
    <s v="New"/>
    <n v="1"/>
    <n v="165000"/>
    <x v="1"/>
    <n v="156750"/>
    <n v="112000"/>
    <x v="0"/>
    <s v="Chinedu"/>
    <n v="156750"/>
    <n v="0"/>
    <n v="112000"/>
    <n v="44750"/>
    <n v="4"/>
    <b v="0"/>
    <n v="11"/>
    <b v="0"/>
  </r>
  <r>
    <n v="100247"/>
    <x v="121"/>
    <s v="AB-01"/>
    <s v="Abuja"/>
    <x v="2"/>
    <s v="Home"/>
    <s v="Electric Kettle"/>
    <s v="C1063"/>
    <s v="Returning"/>
    <n v="2"/>
    <n v="24000"/>
    <x v="2"/>
    <n v="38400"/>
    <n v="15000"/>
    <x v="0"/>
    <s v="Grace"/>
    <n v="38400"/>
    <n v="0"/>
    <n v="30000"/>
    <n v="8400"/>
    <n v="5"/>
    <b v="0"/>
    <n v="4"/>
    <b v="0"/>
  </r>
  <r>
    <n v="100248"/>
    <x v="151"/>
    <s v="LG-01"/>
    <s v="Lagos"/>
    <x v="2"/>
    <s v="Accessories"/>
    <s v="USB Cable"/>
    <s v="C1049"/>
    <s v="Returning"/>
    <n v="1"/>
    <n v="6500"/>
    <x v="1"/>
    <n v="6175"/>
    <n v="2200"/>
    <x v="0"/>
    <s v="Ibrahim"/>
    <n v="6175"/>
    <n v="0"/>
    <n v="2200"/>
    <n v="3975"/>
    <n v="5"/>
    <b v="0"/>
    <n v="11"/>
    <b v="0"/>
  </r>
  <r>
    <n v="100249"/>
    <x v="35"/>
    <s v="KN-01"/>
    <s v="Kano"/>
    <x v="1"/>
    <s v="Home"/>
    <s v="Blender"/>
    <s v="C1027"/>
    <s v="New"/>
    <n v="2"/>
    <n v="42000"/>
    <x v="3"/>
    <n v="75600"/>
    <n v="28000"/>
    <x v="0"/>
    <s v="Bola"/>
    <n v="75600"/>
    <n v="0"/>
    <n v="56000"/>
    <n v="19600"/>
    <n v="4"/>
    <b v="0"/>
    <n v="4"/>
    <b v="0"/>
  </r>
  <r>
    <n v="100250"/>
    <x v="45"/>
    <s v="IB-01"/>
    <s v="Ibadan"/>
    <x v="2"/>
    <s v="Electronics"/>
    <s v="Smartphone"/>
    <s v="C1025"/>
    <s v="New"/>
    <n v="4"/>
    <n v="165000"/>
    <x v="0"/>
    <n v="660000"/>
    <n v="112000"/>
    <x v="0"/>
    <s v="Bola"/>
    <n v="660000"/>
    <n v="0"/>
    <n v="448000"/>
    <n v="212000"/>
    <n v="6"/>
    <b v="0"/>
    <n v="11"/>
    <b v="0"/>
  </r>
  <r>
    <n v="100251"/>
    <x v="65"/>
    <s v="LG-01"/>
    <s v="Lagos"/>
    <x v="2"/>
    <s v="Home"/>
    <s v="Blender"/>
    <s v="C1147"/>
    <s v="Returning"/>
    <n v="2"/>
    <n v="42000"/>
    <x v="0"/>
    <n v="84000"/>
    <n v="28000"/>
    <x v="0"/>
    <s v="Bola"/>
    <n v="84000"/>
    <n v="0"/>
    <n v="56000"/>
    <n v="28000"/>
    <n v="5"/>
    <b v="0"/>
    <n v="4"/>
    <b v="0"/>
  </r>
  <r>
    <n v="100252"/>
    <x v="152"/>
    <s v="KN-01"/>
    <s v="Kano"/>
    <x v="2"/>
    <s v="Electronics"/>
    <s v="Power Bank"/>
    <s v="C1117"/>
    <s v="Returning"/>
    <n v="2"/>
    <n v="26000"/>
    <x v="0"/>
    <n v="52000"/>
    <n v="15000"/>
    <x v="0"/>
    <s v="David"/>
    <n v="52000"/>
    <n v="0"/>
    <n v="30000"/>
    <n v="22000"/>
    <n v="4"/>
    <b v="0"/>
    <n v="11"/>
    <b v="0"/>
  </r>
  <r>
    <n v="100253"/>
    <x v="68"/>
    <s v="PH-01"/>
    <s v="Port Harcourt"/>
    <x v="0"/>
    <s v="Home"/>
    <s v="Standing Fan"/>
    <s v="C1021"/>
    <s v="Returning"/>
    <n v="2"/>
    <n v="58000"/>
    <x v="1"/>
    <n v="110200"/>
    <n v="39000"/>
    <x v="0"/>
    <s v="Ibrahim"/>
    <n v="110200"/>
    <n v="0"/>
    <n v="78000"/>
    <n v="32200"/>
    <n v="13"/>
    <b v="0"/>
    <n v="4"/>
    <b v="0"/>
  </r>
  <r>
    <n v="100254"/>
    <x v="153"/>
    <s v="KN-01"/>
    <s v="Kano"/>
    <x v="1"/>
    <s v="Home"/>
    <s v="Standing Fan"/>
    <s v="C1193"/>
    <s v="Returning"/>
    <n v="2"/>
    <n v="58000"/>
    <x v="3"/>
    <n v="104400"/>
    <n v="39000"/>
    <x v="0"/>
    <s v="Grace"/>
    <n v="104400"/>
    <n v="0"/>
    <n v="78000"/>
    <n v="26400"/>
    <n v="4"/>
    <b v="0"/>
    <n v="4"/>
    <b v="0"/>
  </r>
  <r>
    <n v="100255"/>
    <x v="58"/>
    <s v="LG-02"/>
    <s v="Lagos"/>
    <x v="1"/>
    <s v="Home"/>
    <s v="Electric Kettle"/>
    <s v="C1127"/>
    <s v="New"/>
    <n v="5"/>
    <n v="24000"/>
    <x v="4"/>
    <n v="102000"/>
    <n v="15000"/>
    <x v="1"/>
    <s v="Kemi"/>
    <n v="102000"/>
    <n v="0"/>
    <n v="75000"/>
    <n v="27000"/>
    <n v="5"/>
    <b v="0"/>
    <n v="4"/>
    <b v="0"/>
  </r>
  <r>
    <n v="100256"/>
    <x v="65"/>
    <s v="KN-01"/>
    <s v="Kano"/>
    <x v="2"/>
    <s v="Accessories"/>
    <s v="USB Cable"/>
    <s v="C1050"/>
    <s v="New"/>
    <n v="1"/>
    <n v="6500"/>
    <x v="1"/>
    <n v="6175"/>
    <n v="2200"/>
    <x v="0"/>
    <s v="Aisha"/>
    <n v="6175"/>
    <n v="0"/>
    <n v="2200"/>
    <n v="3975"/>
    <n v="4"/>
    <b v="0"/>
    <n v="11"/>
    <b v="0"/>
  </r>
  <r>
    <n v="100257"/>
    <x v="69"/>
    <s v="LG-01"/>
    <s v="Lagos"/>
    <x v="1"/>
    <s v="Home"/>
    <s v="Standing Fan"/>
    <s v="C1149"/>
    <s v="Returning"/>
    <n v="1"/>
    <n v="58000"/>
    <x v="1"/>
    <n v="55100"/>
    <n v="39000"/>
    <x v="0"/>
    <s v="Bola"/>
    <n v="55100"/>
    <n v="0"/>
    <n v="39000"/>
    <n v="16100"/>
    <n v="5"/>
    <b v="0"/>
    <n v="4"/>
    <b v="0"/>
  </r>
  <r>
    <n v="100258"/>
    <x v="112"/>
    <s v="PH-01"/>
    <s v="Port Harcourt"/>
    <x v="0"/>
    <s v="Home"/>
    <s v="Blender"/>
    <s v="C1155"/>
    <s v="New"/>
    <n v="4"/>
    <n v="42000"/>
    <x v="4"/>
    <n v="142800"/>
    <n v="28000"/>
    <x v="0"/>
    <s v="Aisha"/>
    <n v="142800"/>
    <n v="0"/>
    <n v="112000"/>
    <n v="30800"/>
    <n v="13"/>
    <b v="0"/>
    <n v="4"/>
    <b v="0"/>
  </r>
  <r>
    <n v="100259"/>
    <x v="65"/>
    <s v="AB-01"/>
    <s v="Abuja"/>
    <x v="2"/>
    <s v="Electronics"/>
    <s v="Smartphone"/>
    <s v="C1033"/>
    <s v="Returning"/>
    <n v="1"/>
    <n v="165000"/>
    <x v="5"/>
    <n v="136125"/>
    <n v="112000"/>
    <x v="1"/>
    <s v="Grace"/>
    <n v="123750"/>
    <n v="12375"/>
    <n v="112000"/>
    <n v="11750"/>
    <n v="5"/>
    <b v="0"/>
    <n v="11"/>
    <b v="0"/>
  </r>
  <r>
    <n v="100260"/>
    <x v="95"/>
    <s v="PH-01"/>
    <s v="Port Harcourt"/>
    <x v="0"/>
    <s v="Electronics"/>
    <s v="Earbuds"/>
    <s v="C1190"/>
    <s v="Returning"/>
    <n v="2"/>
    <n v="32000"/>
    <x v="4"/>
    <n v="54400"/>
    <n v="19000"/>
    <x v="0"/>
    <s v="Ibrahim"/>
    <n v="54400"/>
    <n v="0"/>
    <n v="38000"/>
    <n v="16400"/>
    <n v="13"/>
    <b v="0"/>
    <n v="11"/>
    <b v="0"/>
  </r>
  <r>
    <n v="100261"/>
    <x v="154"/>
    <s v="AB-02"/>
    <s v="Abuja"/>
    <x v="2"/>
    <s v="Electronics"/>
    <s v="Power Bank"/>
    <s v="C1146"/>
    <s v="New"/>
    <n v="4"/>
    <n v="26000"/>
    <x v="0"/>
    <n v="104000"/>
    <n v="15000"/>
    <x v="0"/>
    <s v="Chinedu"/>
    <n v="104000"/>
    <n v="0"/>
    <n v="60000"/>
    <n v="44000"/>
    <n v="5"/>
    <b v="0"/>
    <n v="11"/>
    <b v="0"/>
  </r>
  <r>
    <n v="100262"/>
    <x v="155"/>
    <s v="IB-01"/>
    <s v="Ibadan"/>
    <x v="1"/>
    <s v="Home"/>
    <s v="Electric Kettle"/>
    <s v="C1044"/>
    <s v="New"/>
    <n v="4"/>
    <n v="24000"/>
    <x v="1"/>
    <n v="91200"/>
    <n v="15000"/>
    <x v="0"/>
    <s v="Bola"/>
    <n v="91200"/>
    <n v="0"/>
    <n v="60000"/>
    <n v="31200"/>
    <n v="6"/>
    <b v="0"/>
    <n v="4"/>
    <b v="0"/>
  </r>
  <r>
    <n v="100263"/>
    <x v="125"/>
    <s v="AB-02"/>
    <s v="Abuja"/>
    <x v="2"/>
    <s v="Accessories"/>
    <s v="Phone Case"/>
    <s v="C1032"/>
    <s v="New"/>
    <n v="5"/>
    <n v="9000"/>
    <x v="5"/>
    <n v="33750"/>
    <n v="3500"/>
    <x v="0"/>
    <s v="David"/>
    <n v="33750"/>
    <n v="0"/>
    <n v="17500"/>
    <n v="16250"/>
    <n v="5"/>
    <b v="0"/>
    <n v="11"/>
    <b v="0"/>
  </r>
  <r>
    <n v="100264"/>
    <x v="140"/>
    <s v="KN-01"/>
    <s v="Kano"/>
    <x v="2"/>
    <s v="Home"/>
    <s v="Blender"/>
    <s v="C1058"/>
    <s v="Returning"/>
    <n v="1"/>
    <n v="42000"/>
    <x v="1"/>
    <n v="39900"/>
    <n v="28000"/>
    <x v="0"/>
    <s v="David"/>
    <n v="39900"/>
    <n v="0"/>
    <n v="28000"/>
    <n v="11900"/>
    <n v="4"/>
    <b v="0"/>
    <n v="4"/>
    <b v="0"/>
  </r>
  <r>
    <n v="100265"/>
    <x v="156"/>
    <s v="PH-01"/>
    <s v="Port Harcourt"/>
    <x v="2"/>
    <s v="Electronics"/>
    <s v="Earbuds"/>
    <s v="C1087"/>
    <s v="Returning"/>
    <n v="2"/>
    <n v="32000"/>
    <x v="0"/>
    <n v="64000"/>
    <n v="19000"/>
    <x v="0"/>
    <s v="Chinedu"/>
    <n v="64000"/>
    <n v="0"/>
    <n v="38000"/>
    <n v="26000"/>
    <n v="13"/>
    <b v="0"/>
    <n v="11"/>
    <b v="0"/>
  </r>
  <r>
    <n v="100266"/>
    <x v="39"/>
    <s v="KN-01"/>
    <s v="Kano"/>
    <x v="0"/>
    <s v="Home"/>
    <s v="Electric Kettle"/>
    <s v="C1055"/>
    <s v="New"/>
    <n v="4"/>
    <n v="24000"/>
    <x v="0"/>
    <n v="96000"/>
    <n v="15000"/>
    <x v="0"/>
    <s v="Ibrahim"/>
    <n v="96000"/>
    <n v="0"/>
    <n v="60000"/>
    <n v="36000"/>
    <n v="4"/>
    <b v="0"/>
    <n v="4"/>
    <b v="0"/>
  </r>
  <r>
    <n v="100267"/>
    <x v="157"/>
    <s v="PH-01"/>
    <s v="Port Harcourt"/>
    <x v="2"/>
    <s v="Electronics"/>
    <s v="Power Bank"/>
    <s v="C1013"/>
    <s v="Returning"/>
    <n v="1"/>
    <n v="26000"/>
    <x v="1"/>
    <n v="24700"/>
    <n v="15000"/>
    <x v="0"/>
    <s v="Fatima"/>
    <n v="24700"/>
    <n v="0"/>
    <n v="15000"/>
    <n v="9700"/>
    <n v="13"/>
    <b v="0"/>
    <n v="11"/>
    <b v="0"/>
  </r>
  <r>
    <n v="100268"/>
    <x v="82"/>
    <s v="LG-02"/>
    <s v="Lagos"/>
    <x v="1"/>
    <s v="Home"/>
    <s v="Standing Fan"/>
    <s v="C1078"/>
    <s v="Returning"/>
    <n v="2"/>
    <n v="58000"/>
    <x v="0"/>
    <n v="116000"/>
    <n v="39000"/>
    <x v="0"/>
    <s v="Ibrahim"/>
    <n v="116000"/>
    <n v="0"/>
    <n v="78000"/>
    <n v="38000"/>
    <n v="5"/>
    <b v="0"/>
    <n v="4"/>
    <b v="0"/>
  </r>
  <r>
    <n v="100269"/>
    <x v="158"/>
    <s v="AB-01"/>
    <s v="Abuja"/>
    <x v="0"/>
    <s v="Electronics"/>
    <s v="Power Bank"/>
    <s v="C1194"/>
    <s v="Returning"/>
    <n v="5"/>
    <n v="26000"/>
    <x v="4"/>
    <n v="110500"/>
    <n v="15000"/>
    <x v="0"/>
    <s v="Kemi"/>
    <n v="110500"/>
    <n v="0"/>
    <n v="75000"/>
    <n v="35500"/>
    <n v="5"/>
    <b v="0"/>
    <n v="11"/>
    <b v="0"/>
  </r>
  <r>
    <n v="100270"/>
    <x v="159"/>
    <s v="PH-01"/>
    <s v="Port Harcourt"/>
    <x v="1"/>
    <s v="Accessories"/>
    <s v="Backpack"/>
    <s v="C1182"/>
    <s v="Returning"/>
    <n v="4"/>
    <n v="28000"/>
    <x v="0"/>
    <n v="112000"/>
    <n v="16000"/>
    <x v="0"/>
    <s v="Grace"/>
    <n v="112000"/>
    <n v="0"/>
    <n v="64000"/>
    <n v="48000"/>
    <n v="13"/>
    <b v="0"/>
    <n v="11"/>
    <b v="0"/>
  </r>
  <r>
    <n v="100271"/>
    <x v="100"/>
    <s v="IB-01"/>
    <s v="Ibadan"/>
    <x v="1"/>
    <s v="Electronics"/>
    <s v="Smartphone"/>
    <s v="C1149"/>
    <s v="New"/>
    <n v="1"/>
    <n v="165000"/>
    <x v="0"/>
    <n v="165000"/>
    <n v="112000"/>
    <x v="0"/>
    <s v="Chinedu"/>
    <n v="165000"/>
    <n v="0"/>
    <n v="112000"/>
    <n v="53000"/>
    <n v="6"/>
    <b v="0"/>
    <n v="11"/>
    <b v="0"/>
  </r>
  <r>
    <n v="100272"/>
    <x v="101"/>
    <s v="LG-02"/>
    <s v="Lagos"/>
    <x v="2"/>
    <s v="Home"/>
    <s v="Blender"/>
    <s v="C1078"/>
    <s v="Returning"/>
    <n v="1"/>
    <n v="42000"/>
    <x v="0"/>
    <n v="42000"/>
    <n v="28000"/>
    <x v="0"/>
    <s v="Fatima"/>
    <n v="42000"/>
    <n v="0"/>
    <n v="28000"/>
    <n v="14000"/>
    <n v="5"/>
    <b v="0"/>
    <n v="4"/>
    <b v="0"/>
  </r>
  <r>
    <n v="100273"/>
    <x v="34"/>
    <s v="IB-01"/>
    <s v="Ibadan"/>
    <x v="1"/>
    <s v="Electronics"/>
    <s v="Smartphone"/>
    <s v="C1053"/>
    <s v="New"/>
    <n v="2"/>
    <n v="165000"/>
    <x v="1"/>
    <n v="313500"/>
    <n v="112000"/>
    <x v="0"/>
    <s v="Bola"/>
    <n v="313500"/>
    <n v="0"/>
    <n v="224000"/>
    <n v="89500"/>
    <n v="6"/>
    <b v="0"/>
    <n v="11"/>
    <b v="0"/>
  </r>
  <r>
    <n v="100274"/>
    <x v="90"/>
    <s v="PH-01"/>
    <s v="Port Harcourt"/>
    <x v="1"/>
    <s v="Accessories"/>
    <s v="Backpack"/>
    <s v="C1091"/>
    <s v="Returning"/>
    <n v="3"/>
    <n v="28000"/>
    <x v="0"/>
    <n v="84000"/>
    <n v="16000"/>
    <x v="0"/>
    <s v="Fatima"/>
    <n v="84000"/>
    <n v="0"/>
    <n v="48000"/>
    <n v="36000"/>
    <n v="13"/>
    <b v="0"/>
    <n v="11"/>
    <b v="0"/>
  </r>
  <r>
    <n v="100275"/>
    <x v="26"/>
    <s v="LG-01"/>
    <s v="Lagos"/>
    <x v="1"/>
    <s v="Electronics"/>
    <s v="Power Bank"/>
    <s v="C1135"/>
    <s v="New"/>
    <n v="22"/>
    <n v="26000"/>
    <x v="1"/>
    <n v="543400"/>
    <n v="15000"/>
    <x v="0"/>
    <s v="David"/>
    <n v="543400"/>
    <n v="0"/>
    <n v="330000"/>
    <n v="213400"/>
    <n v="5"/>
    <b v="0"/>
    <n v="11"/>
    <b v="0"/>
  </r>
  <r>
    <n v="100276"/>
    <x v="13"/>
    <s v="LG-02"/>
    <s v="Lagos"/>
    <x v="1"/>
    <s v="Home"/>
    <s v="Electric Kettle"/>
    <s v="C1016"/>
    <s v="New"/>
    <n v="2"/>
    <n v="24000"/>
    <x v="3"/>
    <n v="43200"/>
    <n v="15000"/>
    <x v="0"/>
    <s v="David"/>
    <n v="43200"/>
    <n v="0"/>
    <n v="30000"/>
    <n v="13200"/>
    <n v="5"/>
    <b v="0"/>
    <n v="4"/>
    <b v="0"/>
  </r>
  <r>
    <n v="100277"/>
    <x v="150"/>
    <s v="LG-01"/>
    <s v="Lagos"/>
    <x v="2"/>
    <s v="Electronics"/>
    <s v="Power Bank"/>
    <s v="C1038"/>
    <s v="New"/>
    <n v="22"/>
    <n v="26000"/>
    <x v="0"/>
    <n v="572000"/>
    <n v="15000"/>
    <x v="0"/>
    <s v="Grace"/>
    <n v="572000"/>
    <n v="0"/>
    <n v="330000"/>
    <n v="242000"/>
    <n v="5"/>
    <b v="0"/>
    <n v="11"/>
    <b v="0"/>
  </r>
  <r>
    <n v="100278"/>
    <x v="10"/>
    <s v="LG-01"/>
    <s v="Lagos"/>
    <x v="2"/>
    <s v="Electronics"/>
    <s v="Power Bank"/>
    <s v="C1144"/>
    <s v="New"/>
    <n v="3"/>
    <n v="26000"/>
    <x v="3"/>
    <n v="56160"/>
    <n v="15000"/>
    <x v="0"/>
    <s v="Fatima"/>
    <n v="70200"/>
    <n v="-14040"/>
    <n v="45000"/>
    <n v="25200"/>
    <n v="5"/>
    <b v="0"/>
    <n v="11"/>
    <b v="0"/>
  </r>
  <r>
    <n v="100279"/>
    <x v="75"/>
    <s v="AB-02"/>
    <s v="Abuja"/>
    <x v="1"/>
    <s v="Accessories"/>
    <s v="USB Cable"/>
    <s v="C1082"/>
    <s v="Returning"/>
    <n v="4"/>
    <n v="6500"/>
    <x v="4"/>
    <n v="22100"/>
    <n v="2200"/>
    <x v="0"/>
    <s v="Ibrahim"/>
    <n v="22100"/>
    <n v="0"/>
    <n v="8800"/>
    <n v="13300"/>
    <n v="5"/>
    <b v="0"/>
    <n v="11"/>
    <b v="0"/>
  </r>
  <r>
    <n v="100280"/>
    <x v="159"/>
    <s v="LG-01"/>
    <s v="Lagos"/>
    <x v="0"/>
    <s v="Electronics"/>
    <s v="Earbuds"/>
    <s v="C1041"/>
    <s v="Returning"/>
    <n v="1"/>
    <n v="32000"/>
    <x v="1"/>
    <n v="30400"/>
    <n v="19000"/>
    <x v="0"/>
    <s v="Grace"/>
    <n v="30400"/>
    <n v="0"/>
    <n v="19000"/>
    <n v="11400"/>
    <n v="5"/>
    <b v="0"/>
    <n v="11"/>
    <b v="0"/>
  </r>
  <r>
    <n v="100281"/>
    <x v="31"/>
    <s v="LG-01"/>
    <s v="Lagos"/>
    <x v="0"/>
    <s v="Electronics"/>
    <s v="Power Bank"/>
    <s v="C1035"/>
    <s v="New"/>
    <n v="1"/>
    <n v="26000"/>
    <x v="4"/>
    <n v="22100"/>
    <n v="15000"/>
    <x v="0"/>
    <s v="Bola"/>
    <n v="22100"/>
    <n v="0"/>
    <n v="15000"/>
    <n v="7100"/>
    <n v="5"/>
    <b v="0"/>
    <n v="11"/>
    <b v="0"/>
  </r>
  <r>
    <n v="100282"/>
    <x v="64"/>
    <s v="LG-01"/>
    <s v="Lagos"/>
    <x v="2"/>
    <s v="Electronics"/>
    <s v="Power Bank"/>
    <s v="C1159"/>
    <s v="Returning"/>
    <n v="2"/>
    <n v="26000"/>
    <x v="1"/>
    <n v="49400"/>
    <n v="15000"/>
    <x v="0"/>
    <s v="Kemi"/>
    <n v="49400"/>
    <n v="0"/>
    <n v="30000"/>
    <n v="19400"/>
    <n v="5"/>
    <b v="0"/>
    <n v="11"/>
    <b v="0"/>
  </r>
  <r>
    <n v="100283"/>
    <x v="90"/>
    <s v="LG-01"/>
    <s v="Lagos"/>
    <x v="2"/>
    <s v="Home"/>
    <s v="Standing Fan"/>
    <s v="C1108"/>
    <s v="Returning"/>
    <n v="1"/>
    <n v="58000"/>
    <x v="1"/>
    <n v="55100"/>
    <n v="39000"/>
    <x v="0"/>
    <s v="Bola"/>
    <n v="55100"/>
    <n v="0"/>
    <n v="39000"/>
    <n v="16100"/>
    <n v="5"/>
    <b v="0"/>
    <n v="4"/>
    <b v="0"/>
  </r>
  <r>
    <n v="100284"/>
    <x v="160"/>
    <s v="AB-02"/>
    <s v="Abuja"/>
    <x v="2"/>
    <s v="Home"/>
    <s v="Electric Kettle"/>
    <s v="C1115"/>
    <s v="New"/>
    <n v="4"/>
    <n v="24000"/>
    <x v="3"/>
    <n v="95040"/>
    <n v="15000"/>
    <x v="0"/>
    <s v="Fatima"/>
    <n v="86400"/>
    <n v="8640"/>
    <n v="60000"/>
    <n v="26400"/>
    <n v="5"/>
    <b v="0"/>
    <n v="4"/>
    <b v="0"/>
  </r>
  <r>
    <n v="100285"/>
    <x v="93"/>
    <s v="KN-01"/>
    <s v="Kano"/>
    <x v="1"/>
    <s v="Home"/>
    <s v="Electric Kettle"/>
    <s v="C1172"/>
    <s v="Returning"/>
    <n v="1"/>
    <n v="24000"/>
    <x v="1"/>
    <n v="22800"/>
    <n v="15000"/>
    <x v="0"/>
    <s v="David"/>
    <n v="22800"/>
    <n v="0"/>
    <n v="15000"/>
    <n v="7800"/>
    <n v="4"/>
    <b v="0"/>
    <n v="4"/>
    <b v="0"/>
  </r>
  <r>
    <n v="100286"/>
    <x v="161"/>
    <s v="KN-01"/>
    <s v="Kano"/>
    <x v="1"/>
    <s v="Accessories"/>
    <s v="Phone Case"/>
    <s v="C1130"/>
    <s v="Returning"/>
    <n v="1"/>
    <n v="9000"/>
    <x v="3"/>
    <n v="8100"/>
    <n v="3500"/>
    <x v="0"/>
    <s v="Aisha"/>
    <n v="8100"/>
    <n v="0"/>
    <n v="3500"/>
    <n v="4600"/>
    <n v="4"/>
    <b v="0"/>
    <n v="11"/>
    <b v="0"/>
  </r>
  <r>
    <n v="100287"/>
    <x v="133"/>
    <s v="PH-01"/>
    <s v="Port Harcourt"/>
    <x v="1"/>
    <s v="Electronics"/>
    <s v="Earbuds"/>
    <s v="C1114"/>
    <s v="New"/>
    <n v="3"/>
    <n v="32000"/>
    <x v="1"/>
    <n v="91200"/>
    <n v="19000"/>
    <x v="0"/>
    <s v="Grace"/>
    <n v="91200"/>
    <n v="0"/>
    <n v="57000"/>
    <n v="34200"/>
    <n v="13"/>
    <b v="0"/>
    <n v="11"/>
    <b v="0"/>
  </r>
  <r>
    <n v="100288"/>
    <x v="81"/>
    <s v="IB-01"/>
    <s v="Ibadan"/>
    <x v="2"/>
    <s v="Electronics"/>
    <s v="Power Bank"/>
    <s v="C1062"/>
    <s v="Returning"/>
    <n v="1"/>
    <n v="26000"/>
    <x v="1"/>
    <n v="24700"/>
    <n v="15000"/>
    <x v="0"/>
    <s v="Chinedu"/>
    <n v="24700"/>
    <n v="0"/>
    <n v="15000"/>
    <n v="9700"/>
    <n v="6"/>
    <b v="0"/>
    <n v="11"/>
    <b v="0"/>
  </r>
  <r>
    <n v="100289"/>
    <x v="53"/>
    <s v="LG-01"/>
    <s v="Lagos"/>
    <x v="2"/>
    <s v="Electronics"/>
    <s v="Earbuds"/>
    <s v="C1057"/>
    <s v="New"/>
    <n v="3"/>
    <n v="32000"/>
    <x v="3"/>
    <n v="86400"/>
    <n v="19000"/>
    <x v="0"/>
    <s v="David"/>
    <n v="86400"/>
    <n v="0"/>
    <n v="57000"/>
    <n v="29400"/>
    <n v="5"/>
    <b v="0"/>
    <n v="11"/>
    <b v="0"/>
  </r>
  <r>
    <n v="100290"/>
    <x v="35"/>
    <s v="LG-01"/>
    <s v="Lagos"/>
    <x v="2"/>
    <s v="Electronics"/>
    <s v="Earbuds"/>
    <s v="C1083"/>
    <s v="Returning"/>
    <n v="5"/>
    <n v="32000"/>
    <x v="4"/>
    <n v="136000"/>
    <n v="19000"/>
    <x v="0"/>
    <s v="Ibrahim"/>
    <n v="136000"/>
    <n v="0"/>
    <n v="95000"/>
    <n v="41000"/>
    <n v="5"/>
    <b v="0"/>
    <n v="11"/>
    <b v="0"/>
  </r>
  <r>
    <n v="100291"/>
    <x v="120"/>
    <s v="IB-01"/>
    <s v="Ibadan"/>
    <x v="2"/>
    <s v="Electronics"/>
    <s v="Earbuds"/>
    <s v="C1073"/>
    <s v="Returning"/>
    <n v="1"/>
    <n v="32000"/>
    <x v="3"/>
    <n v="28800"/>
    <n v="19000"/>
    <x v="0"/>
    <s v="Fatima"/>
    <n v="28800"/>
    <n v="0"/>
    <n v="19000"/>
    <n v="9800"/>
    <n v="6"/>
    <b v="0"/>
    <n v="11"/>
    <b v="0"/>
  </r>
  <r>
    <n v="100292"/>
    <x v="162"/>
    <s v="LG-02"/>
    <s v="Lagos"/>
    <x v="0"/>
    <s v="Electronics"/>
    <s v="Smartphone"/>
    <s v="C1138"/>
    <s v="Returning"/>
    <n v="1"/>
    <n v="165000"/>
    <x v="4"/>
    <n v="140250"/>
    <n v="112000"/>
    <x v="0"/>
    <s v="Ibrahim"/>
    <n v="140250"/>
    <n v="0"/>
    <n v="112000"/>
    <n v="28250"/>
    <n v="5"/>
    <b v="0"/>
    <n v="11"/>
    <b v="0"/>
  </r>
  <r>
    <n v="100293"/>
    <x v="74"/>
    <s v="PH-01"/>
    <s v="Port Harcourt"/>
    <x v="0"/>
    <s v="Accessories"/>
    <s v="Backpack"/>
    <s v="C1150"/>
    <s v="New"/>
    <n v="2"/>
    <n v="28000"/>
    <x v="0"/>
    <n v="56000"/>
    <n v="16000"/>
    <x v="0"/>
    <s v="Bola"/>
    <n v="56000"/>
    <n v="0"/>
    <n v="32000"/>
    <n v="24000"/>
    <n v="13"/>
    <b v="0"/>
    <n v="11"/>
    <b v="0"/>
  </r>
  <r>
    <n v="100294"/>
    <x v="72"/>
    <s v="IB-01"/>
    <s v="Ibadan"/>
    <x v="2"/>
    <s v="Electronics"/>
    <s v="Power Bank"/>
    <s v="C1041"/>
    <s v="New"/>
    <n v="3"/>
    <n v="26000"/>
    <x v="3"/>
    <n v="63180"/>
    <n v="15000"/>
    <x v="0"/>
    <s v="Fatima"/>
    <n v="70200"/>
    <n v="-7020"/>
    <n v="45000"/>
    <n v="25200"/>
    <n v="6"/>
    <b v="0"/>
    <n v="11"/>
    <b v="0"/>
  </r>
  <r>
    <n v="100295"/>
    <x v="80"/>
    <s v="IB-01"/>
    <s v="Ibadan"/>
    <x v="0"/>
    <s v="Electronics"/>
    <s v="Earbuds"/>
    <s v="C1010"/>
    <s v="New"/>
    <n v="1"/>
    <n v="32000"/>
    <x v="4"/>
    <n v="27200"/>
    <n v="19000"/>
    <x v="1"/>
    <s v="Kemi"/>
    <n v="27200"/>
    <n v="0"/>
    <n v="19000"/>
    <n v="8200"/>
    <n v="6"/>
    <b v="0"/>
    <n v="11"/>
    <b v="0"/>
  </r>
  <r>
    <n v="100296"/>
    <x v="163"/>
    <s v="IB-01"/>
    <s v="Ibadan"/>
    <x v="0"/>
    <s v="Electronics"/>
    <s v="Earbuds"/>
    <s v="C1170"/>
    <s v="New"/>
    <n v="2"/>
    <n v="32000"/>
    <x v="1"/>
    <n v="72960"/>
    <n v="19000"/>
    <x v="1"/>
    <s v="Bola"/>
    <n v="60800"/>
    <n v="12160"/>
    <n v="38000"/>
    <n v="22800"/>
    <n v="6"/>
    <b v="0"/>
    <n v="11"/>
    <b v="0"/>
  </r>
  <r>
    <n v="100297"/>
    <x v="106"/>
    <s v="IB-01"/>
    <s v="Ibadan"/>
    <x v="1"/>
    <s v="Home"/>
    <s v="Standing Fan"/>
    <s v="C1082"/>
    <s v="New"/>
    <n v="1"/>
    <n v="58000"/>
    <x v="0"/>
    <n v="58000"/>
    <n v="39000"/>
    <x v="0"/>
    <s v="Chinedu"/>
    <n v="58000"/>
    <n v="0"/>
    <n v="39000"/>
    <n v="19000"/>
    <n v="6"/>
    <b v="0"/>
    <n v="4"/>
    <b v="0"/>
  </r>
  <r>
    <n v="100298"/>
    <x v="144"/>
    <s v="LG-02"/>
    <s v="Lagos"/>
    <x v="1"/>
    <s v="Electronics"/>
    <s v="Power Bank"/>
    <s v="C1162"/>
    <s v="Returning"/>
    <n v="4"/>
    <n v="26000"/>
    <x v="3"/>
    <n v="93600"/>
    <n v="15000"/>
    <x v="0"/>
    <s v="Fatima"/>
    <n v="93600"/>
    <n v="0"/>
    <n v="60000"/>
    <n v="33600"/>
    <n v="5"/>
    <b v="0"/>
    <n v="11"/>
    <b v="0"/>
  </r>
  <r>
    <n v="100299"/>
    <x v="28"/>
    <s v="LG-01"/>
    <s v="Lagos"/>
    <x v="2"/>
    <s v="Accessories"/>
    <s v="Backpack"/>
    <s v="C1110"/>
    <s v="Returning"/>
    <n v="2"/>
    <n v="28000"/>
    <x v="3"/>
    <n v="50400"/>
    <n v="16000"/>
    <x v="0"/>
    <s v="Kemi"/>
    <n v="50400"/>
    <n v="0"/>
    <n v="32000"/>
    <n v="18400"/>
    <n v="5"/>
    <b v="0"/>
    <n v="11"/>
    <b v="0"/>
  </r>
  <r>
    <n v="100300"/>
    <x v="8"/>
    <s v="PH-01"/>
    <s v="Port Harcourt"/>
    <x v="0"/>
    <s v="Accessories"/>
    <s v="USB Cable"/>
    <s v="C1033"/>
    <s v="New"/>
    <n v="4"/>
    <n v="6500"/>
    <x v="3"/>
    <n v="23400"/>
    <n v="2200"/>
    <x v="0"/>
    <s v="Kemi"/>
    <n v="23400"/>
    <n v="0"/>
    <n v="8800"/>
    <n v="14600"/>
    <n v="13"/>
    <b v="0"/>
    <n v="11"/>
    <b v="0"/>
  </r>
  <r>
    <n v="100301"/>
    <x v="154"/>
    <s v="LG-02"/>
    <s v="Lagos"/>
    <x v="2"/>
    <s v="Electronics"/>
    <s v="Power Bank"/>
    <s v="C1169"/>
    <s v="Returning"/>
    <n v="5"/>
    <n v="26000"/>
    <x v="1"/>
    <n v="98800"/>
    <n v="15000"/>
    <x v="1"/>
    <s v="Aisha"/>
    <n v="123500"/>
    <n v="-24700"/>
    <n v="75000"/>
    <n v="48500"/>
    <n v="5"/>
    <b v="0"/>
    <n v="11"/>
    <b v="0"/>
  </r>
  <r>
    <n v="100302"/>
    <x v="92"/>
    <s v="LG-02"/>
    <s v="Lagos"/>
    <x v="2"/>
    <s v="Accessories"/>
    <s v="Backpack"/>
    <s v="C1179"/>
    <s v="Returning"/>
    <n v="4"/>
    <n v="28000"/>
    <x v="0"/>
    <n v="112000"/>
    <n v="16000"/>
    <x v="0"/>
    <s v="Bola"/>
    <n v="112000"/>
    <n v="0"/>
    <n v="64000"/>
    <n v="48000"/>
    <n v="5"/>
    <b v="0"/>
    <n v="11"/>
    <b v="0"/>
  </r>
  <r>
    <n v="100303"/>
    <x v="164"/>
    <s v="IB-01"/>
    <s v="Ibadan"/>
    <x v="2"/>
    <s v="Accessories"/>
    <s v="Phone Case"/>
    <s v="C1032"/>
    <s v="Returning"/>
    <n v="2"/>
    <n v="9000"/>
    <x v="3"/>
    <n v="16200"/>
    <n v="3500"/>
    <x v="0"/>
    <s v="Ibrahim"/>
    <n v="16200"/>
    <n v="0"/>
    <n v="7000"/>
    <n v="9200"/>
    <n v="6"/>
    <b v="0"/>
    <n v="11"/>
    <b v="0"/>
  </r>
  <r>
    <n v="100304"/>
    <x v="112"/>
    <s v="KN-01"/>
    <s v="Kano"/>
    <x v="0"/>
    <s v="Home"/>
    <s v="Standing Fan"/>
    <s v="C1090"/>
    <s v="New"/>
    <n v="5"/>
    <n v="58000"/>
    <x v="3"/>
    <n v="261000"/>
    <n v="39000"/>
    <x v="0"/>
    <s v="Bola"/>
    <n v="261000"/>
    <n v="0"/>
    <n v="195000"/>
    <n v="66000"/>
    <n v="4"/>
    <b v="0"/>
    <n v="4"/>
    <b v="0"/>
  </r>
  <r>
    <n v="100305"/>
    <x v="16"/>
    <s v="LG-01"/>
    <s v="Lagos"/>
    <x v="1"/>
    <s v="Electronics"/>
    <s v="Earbuds"/>
    <s v="C1105"/>
    <s v="Returning"/>
    <n v="2"/>
    <n v="32000"/>
    <x v="1"/>
    <n v="60800"/>
    <n v="19000"/>
    <x v="0"/>
    <s v="Grace"/>
    <n v="60800"/>
    <n v="0"/>
    <n v="38000"/>
    <n v="22800"/>
    <n v="5"/>
    <b v="0"/>
    <n v="11"/>
    <b v="0"/>
  </r>
  <r>
    <n v="100306"/>
    <x v="122"/>
    <s v="PH-01"/>
    <s v="Port Harcourt"/>
    <x v="2"/>
    <s v="Accessories"/>
    <s v="Phone Case"/>
    <s v="C1162"/>
    <s v="New"/>
    <n v="1"/>
    <n v="9000"/>
    <x v="4"/>
    <n v="7650"/>
    <n v="3500"/>
    <x v="0"/>
    <s v="Aisha"/>
    <n v="7650"/>
    <n v="0"/>
    <n v="3500"/>
    <n v="4150"/>
    <n v="13"/>
    <b v="0"/>
    <n v="11"/>
    <b v="0"/>
  </r>
  <r>
    <n v="100307"/>
    <x v="91"/>
    <s v="IB-01"/>
    <s v="Ibadan"/>
    <x v="1"/>
    <s v="Electronics"/>
    <s v="Power Bank"/>
    <s v="C1099"/>
    <s v="New"/>
    <n v="3"/>
    <n v="26000"/>
    <x v="0"/>
    <n v="78000"/>
    <n v="15000"/>
    <x v="0"/>
    <s v="Ibrahim"/>
    <n v="78000"/>
    <n v="0"/>
    <n v="45000"/>
    <n v="33000"/>
    <n v="6"/>
    <b v="0"/>
    <n v="11"/>
    <b v="0"/>
  </r>
  <r>
    <n v="100308"/>
    <x v="5"/>
    <s v="LG-02"/>
    <s v="Lagos"/>
    <x v="1"/>
    <s v="Home"/>
    <s v="Blender"/>
    <s v="C1088"/>
    <s v="Returning"/>
    <n v="1"/>
    <n v="42000"/>
    <x v="1"/>
    <n v="39900"/>
    <n v="28000"/>
    <x v="0"/>
    <s v="Aisha"/>
    <n v="39900"/>
    <n v="0"/>
    <n v="28000"/>
    <n v="11900"/>
    <n v="5"/>
    <b v="0"/>
    <n v="4"/>
    <b v="0"/>
  </r>
  <r>
    <n v="100309"/>
    <x v="165"/>
    <s v="LG-02"/>
    <s v="Lagos"/>
    <x v="2"/>
    <s v="Accessories"/>
    <s v="USB Cable"/>
    <s v="C1093"/>
    <s v="New"/>
    <n v="3"/>
    <n v="6500"/>
    <x v="4"/>
    <n v="16575"/>
    <n v="2200"/>
    <x v="0"/>
    <s v="Ibrahim"/>
    <n v="16575"/>
    <n v="0"/>
    <n v="6600"/>
    <n v="9975"/>
    <n v="5"/>
    <b v="0"/>
    <n v="11"/>
    <b v="0"/>
  </r>
  <r>
    <n v="100310"/>
    <x v="69"/>
    <s v="LG-01"/>
    <s v="Lagos"/>
    <x v="1"/>
    <s v="Electronics"/>
    <s v="Earbuds"/>
    <s v="C1022"/>
    <s v="New"/>
    <n v="4"/>
    <n v="32000"/>
    <x v="3"/>
    <n v="115200"/>
    <n v="19000"/>
    <x v="0"/>
    <s v="Ibrahim"/>
    <n v="115200"/>
    <n v="0"/>
    <n v="76000"/>
    <n v="39200"/>
    <n v="5"/>
    <b v="0"/>
    <n v="11"/>
    <b v="0"/>
  </r>
  <r>
    <n v="100311"/>
    <x v="166"/>
    <s v="AB-01"/>
    <s v="Abuja"/>
    <x v="1"/>
    <s v="Accessories"/>
    <s v="USB Cable"/>
    <s v="C1143"/>
    <s v="Returning"/>
    <n v="1"/>
    <n v="6500"/>
    <x v="1"/>
    <n v="6175"/>
    <n v="2200"/>
    <x v="0"/>
    <s v="Aisha"/>
    <n v="6175"/>
    <n v="0"/>
    <n v="2200"/>
    <n v="3975"/>
    <n v="5"/>
    <b v="0"/>
    <n v="11"/>
    <b v="0"/>
  </r>
  <r>
    <n v="100312"/>
    <x v="167"/>
    <s v="LG-02"/>
    <s v="Lagos"/>
    <x v="2"/>
    <s v="Electronics"/>
    <s v="Earbuds"/>
    <s v="C1007"/>
    <s v="New"/>
    <n v="3"/>
    <n v="32000"/>
    <x v="4"/>
    <n v="81600"/>
    <n v="19000"/>
    <x v="0"/>
    <s v="Kemi"/>
    <n v="81600"/>
    <n v="0"/>
    <n v="57000"/>
    <n v="24600"/>
    <n v="5"/>
    <b v="0"/>
    <n v="11"/>
    <b v="0"/>
  </r>
  <r>
    <n v="100313"/>
    <x v="168"/>
    <s v="LG-01"/>
    <s v="Lagos"/>
    <x v="2"/>
    <s v="Accessories"/>
    <s v="USB Cable"/>
    <s v="C1078"/>
    <s v="Returning"/>
    <n v="1"/>
    <n v="6500"/>
    <x v="1"/>
    <n v="6175"/>
    <n v="2200"/>
    <x v="0"/>
    <s v="David"/>
    <n v="6175"/>
    <n v="0"/>
    <n v="2200"/>
    <n v="3975"/>
    <n v="5"/>
    <b v="0"/>
    <n v="11"/>
    <b v="0"/>
  </r>
  <r>
    <n v="100314"/>
    <x v="114"/>
    <s v="LG-02"/>
    <s v="Lagos"/>
    <x v="2"/>
    <s v="Electronics"/>
    <s v="Smartphone"/>
    <s v="C1167"/>
    <s v="Returning"/>
    <n v="1"/>
    <n v="165000"/>
    <x v="3"/>
    <n v="148500"/>
    <n v="112000"/>
    <x v="0"/>
    <s v="Grace"/>
    <n v="148500"/>
    <n v="0"/>
    <n v="112000"/>
    <n v="36500"/>
    <n v="5"/>
    <b v="0"/>
    <n v="11"/>
    <b v="0"/>
  </r>
  <r>
    <n v="100315"/>
    <x v="169"/>
    <s v="LG-02"/>
    <s v="Lagos"/>
    <x v="0"/>
    <s v="Electronics"/>
    <s v="Power Bank"/>
    <s v="C1178"/>
    <s v="Returning"/>
    <n v="1"/>
    <n v="26000"/>
    <x v="0"/>
    <n v="26000"/>
    <n v="15000"/>
    <x v="0"/>
    <s v="Chinedu"/>
    <n v="26000"/>
    <n v="0"/>
    <n v="15000"/>
    <n v="11000"/>
    <n v="5"/>
    <b v="0"/>
    <n v="11"/>
    <b v="0"/>
  </r>
  <r>
    <n v="100316"/>
    <x v="165"/>
    <s v="KN-01"/>
    <s v="Kano"/>
    <x v="1"/>
    <s v="Electronics"/>
    <s v="Earbuds"/>
    <s v="C1100"/>
    <s v="New"/>
    <n v="5"/>
    <n v="32000"/>
    <x v="0"/>
    <n v="160000"/>
    <n v="19000"/>
    <x v="0"/>
    <s v="Chinedu"/>
    <n v="160000"/>
    <n v="0"/>
    <n v="95000"/>
    <n v="65000"/>
    <n v="4"/>
    <b v="0"/>
    <n v="11"/>
    <b v="0"/>
  </r>
  <r>
    <n v="100317"/>
    <x v="145"/>
    <s v="IB-01"/>
    <s v="Ibadan"/>
    <x v="2"/>
    <s v="Home"/>
    <s v="Electric Kettle"/>
    <s v="C1099"/>
    <s v="Returning"/>
    <n v="1"/>
    <n v="24000"/>
    <x v="1"/>
    <n v="22800"/>
    <n v="15000"/>
    <x v="0"/>
    <s v="Kemi"/>
    <n v="22800"/>
    <n v="0"/>
    <n v="15000"/>
    <n v="7800"/>
    <n v="6"/>
    <b v="0"/>
    <n v="4"/>
    <b v="0"/>
  </r>
  <r>
    <n v="100318"/>
    <x v="111"/>
    <s v="KN-01"/>
    <s v="Kano"/>
    <x v="2"/>
    <s v="Home"/>
    <s v="Standing Fan"/>
    <s v="C1070"/>
    <s v="Returning"/>
    <n v="2"/>
    <n v="58000"/>
    <x v="1"/>
    <n v="110200"/>
    <n v="39000"/>
    <x v="0"/>
    <s v="Grace"/>
    <n v="110200"/>
    <n v="0"/>
    <n v="78000"/>
    <n v="32200"/>
    <n v="4"/>
    <b v="0"/>
    <n v="4"/>
    <b v="0"/>
  </r>
  <r>
    <n v="100319"/>
    <x v="170"/>
    <s v="AB-02"/>
    <s v="Abuja"/>
    <x v="2"/>
    <s v="Accessories"/>
    <s v="Backpack"/>
    <s v="C1108"/>
    <s v="New"/>
    <n v="4"/>
    <n v="28000"/>
    <x v="4"/>
    <n v="95200"/>
    <n v="16000"/>
    <x v="0"/>
    <s v="David"/>
    <n v="95200"/>
    <n v="0"/>
    <n v="64000"/>
    <n v="31200"/>
    <n v="5"/>
    <b v="0"/>
    <n v="11"/>
    <b v="0"/>
  </r>
  <r>
    <n v="100320"/>
    <x v="171"/>
    <s v="AB-01"/>
    <s v="Abuja"/>
    <x v="2"/>
    <s v="Electronics"/>
    <s v="Earbuds"/>
    <s v="C1123"/>
    <s v="Returning"/>
    <n v="2"/>
    <n v="32000"/>
    <x v="2"/>
    <n v="51200"/>
    <n v="19000"/>
    <x v="0"/>
    <s v="Fatima"/>
    <n v="51200"/>
    <n v="0"/>
    <n v="38000"/>
    <n v="13200"/>
    <n v="5"/>
    <b v="0"/>
    <n v="11"/>
    <b v="0"/>
  </r>
  <r>
    <n v="100321"/>
    <x v="149"/>
    <s v="LG-01"/>
    <s v="Lagos"/>
    <x v="2"/>
    <s v="Electronics"/>
    <s v="Smartphone"/>
    <s v="C1106"/>
    <s v="Returning"/>
    <n v="2"/>
    <n v="165000"/>
    <x v="0"/>
    <n v="330000"/>
    <n v="112000"/>
    <x v="0"/>
    <s v="Kemi"/>
    <n v="330000"/>
    <n v="0"/>
    <n v="224000"/>
    <n v="106000"/>
    <n v="5"/>
    <b v="0"/>
    <n v="11"/>
    <b v="0"/>
  </r>
  <r>
    <n v="100322"/>
    <x v="103"/>
    <s v="LG-02"/>
    <s v="Lagos"/>
    <x v="1"/>
    <s v="Home"/>
    <s v="Electric Kettle"/>
    <s v="C1176"/>
    <s v="New"/>
    <n v="1"/>
    <n v="24000"/>
    <x v="3"/>
    <n v="21600"/>
    <n v="15000"/>
    <x v="0"/>
    <s v="Grace"/>
    <n v="21600"/>
    <n v="0"/>
    <n v="15000"/>
    <n v="6600"/>
    <n v="5"/>
    <b v="0"/>
    <n v="4"/>
    <b v="0"/>
  </r>
  <r>
    <n v="100323"/>
    <x v="2"/>
    <s v="IB-01"/>
    <s v="Ibadan"/>
    <x v="0"/>
    <s v="Electronics"/>
    <s v="Smartphone"/>
    <s v="C1166"/>
    <s v="Returning"/>
    <n v="2"/>
    <n v="165000"/>
    <x v="0"/>
    <n v="330000"/>
    <n v="112000"/>
    <x v="0"/>
    <s v="Chinedu"/>
    <n v="330000"/>
    <n v="0"/>
    <n v="224000"/>
    <n v="106000"/>
    <n v="6"/>
    <b v="0"/>
    <n v="11"/>
    <b v="0"/>
  </r>
  <r>
    <n v="100324"/>
    <x v="106"/>
    <s v="IB-01"/>
    <s v="Ibadan"/>
    <x v="2"/>
    <s v="Electronics"/>
    <s v="Smartphone"/>
    <s v="C1027"/>
    <s v="New"/>
    <n v="3"/>
    <n v="165000"/>
    <x v="3"/>
    <n v="445500"/>
    <n v="112000"/>
    <x v="0"/>
    <s v="David"/>
    <n v="445500"/>
    <n v="0"/>
    <n v="336000"/>
    <n v="109500"/>
    <n v="6"/>
    <b v="0"/>
    <n v="11"/>
    <b v="0"/>
  </r>
  <r>
    <n v="100325"/>
    <x v="50"/>
    <s v="KN-01"/>
    <s v="Kano"/>
    <x v="0"/>
    <s v="Home"/>
    <s v="Blender"/>
    <s v="C1120"/>
    <s v="Returning"/>
    <n v="3"/>
    <n v="42000"/>
    <x v="1"/>
    <n v="119700"/>
    <n v="28000"/>
    <x v="0"/>
    <s v="Chinedu"/>
    <n v="119700"/>
    <n v="0"/>
    <n v="84000"/>
    <n v="35700"/>
    <n v="4"/>
    <b v="0"/>
    <n v="4"/>
    <b v="0"/>
  </r>
  <r>
    <n v="100326"/>
    <x v="132"/>
    <s v="IB-01"/>
    <s v="Ibadan"/>
    <x v="1"/>
    <s v="Electronics"/>
    <s v="Earbuds"/>
    <s v="C1064"/>
    <s v="Returning"/>
    <n v="5"/>
    <n v="32000"/>
    <x v="1"/>
    <n v="152000"/>
    <n v="19000"/>
    <x v="0"/>
    <s v="Grace"/>
    <n v="152000"/>
    <n v="0"/>
    <n v="95000"/>
    <n v="57000"/>
    <n v="6"/>
    <b v="0"/>
    <n v="11"/>
    <b v="0"/>
  </r>
  <r>
    <n v="100327"/>
    <x v="17"/>
    <s v="LG-02"/>
    <s v="Lagos"/>
    <x v="2"/>
    <s v="Electronics"/>
    <s v="Power Bank"/>
    <s v="C1123"/>
    <s v="New"/>
    <n v="1"/>
    <n v="26000"/>
    <x v="3"/>
    <n v="23400"/>
    <n v="15000"/>
    <x v="0"/>
    <s v="Kemi"/>
    <n v="23400"/>
    <n v="0"/>
    <n v="15000"/>
    <n v="8400"/>
    <n v="5"/>
    <b v="0"/>
    <n v="11"/>
    <b v="0"/>
  </r>
  <r>
    <n v="100328"/>
    <x v="116"/>
    <s v="KN-01"/>
    <s v="Kano"/>
    <x v="0"/>
    <s v="Home"/>
    <s v="Blender"/>
    <s v="C1079"/>
    <s v="Returning"/>
    <n v="1"/>
    <n v="42000"/>
    <x v="1"/>
    <n v="39900"/>
    <n v="28000"/>
    <x v="0"/>
    <s v="Grace"/>
    <n v="39900"/>
    <n v="0"/>
    <n v="28000"/>
    <n v="11900"/>
    <n v="4"/>
    <b v="0"/>
    <n v="4"/>
    <b v="0"/>
  </r>
  <r>
    <n v="100329"/>
    <x v="141"/>
    <s v="IB-01"/>
    <s v="Ibadan"/>
    <x v="0"/>
    <s v="Electronics"/>
    <s v="Earbuds"/>
    <s v="C1143"/>
    <s v="Returning"/>
    <n v="2"/>
    <n v="32000"/>
    <x v="0"/>
    <n v="64000"/>
    <n v="19000"/>
    <x v="1"/>
    <s v="Fatima"/>
    <n v="64000"/>
    <n v="0"/>
    <n v="38000"/>
    <n v="26000"/>
    <n v="6"/>
    <b v="0"/>
    <n v="11"/>
    <b v="0"/>
  </r>
  <r>
    <n v="100330"/>
    <x v="12"/>
    <s v="LG-02"/>
    <s v="Lagos"/>
    <x v="2"/>
    <s v="Home"/>
    <s v="Standing Fan"/>
    <s v="C1034"/>
    <s v="New"/>
    <n v="2"/>
    <n v="58000"/>
    <x v="3"/>
    <n v="104400"/>
    <n v="39000"/>
    <x v="0"/>
    <s v="David"/>
    <n v="104400"/>
    <n v="0"/>
    <n v="78000"/>
    <n v="26400"/>
    <n v="5"/>
    <b v="0"/>
    <n v="4"/>
    <b v="0"/>
  </r>
  <r>
    <n v="100331"/>
    <x v="172"/>
    <s v="KN-01"/>
    <s v="Kano"/>
    <x v="1"/>
    <s v="Accessories"/>
    <s v="Phone Case"/>
    <s v="C1001"/>
    <s v="Returning"/>
    <n v="1"/>
    <n v="9000"/>
    <x v="1"/>
    <n v="8550"/>
    <n v="3500"/>
    <x v="0"/>
    <s v="Chinedu"/>
    <n v="8550"/>
    <n v="0"/>
    <n v="3500"/>
    <n v="5050"/>
    <n v="4"/>
    <b v="0"/>
    <n v="11"/>
    <b v="0"/>
  </r>
  <r>
    <n v="100332"/>
    <x v="101"/>
    <s v="AB-01"/>
    <s v="Abuja"/>
    <x v="2"/>
    <s v="Electronics"/>
    <s v="Earbuds"/>
    <s v="C1024"/>
    <s v="New"/>
    <n v="1"/>
    <n v="32000"/>
    <x v="1"/>
    <n v="30400"/>
    <n v="19000"/>
    <x v="0"/>
    <s v="David"/>
    <n v="30400"/>
    <n v="0"/>
    <n v="19000"/>
    <n v="11400"/>
    <n v="5"/>
    <b v="0"/>
    <n v="11"/>
    <b v="0"/>
  </r>
  <r>
    <n v="100333"/>
    <x v="23"/>
    <s v="AB-01"/>
    <s v="Abuja"/>
    <x v="1"/>
    <s v="Electronics"/>
    <s v="Earbuds"/>
    <s v="C1174"/>
    <s v="New"/>
    <n v="5"/>
    <n v="32000"/>
    <x v="3"/>
    <n v="144000"/>
    <n v="19000"/>
    <x v="0"/>
    <s v="Grace"/>
    <n v="144000"/>
    <n v="0"/>
    <n v="95000"/>
    <n v="49000"/>
    <n v="5"/>
    <b v="0"/>
    <n v="11"/>
    <b v="0"/>
  </r>
  <r>
    <n v="100334"/>
    <x v="124"/>
    <s v="LG-01"/>
    <s v="Lagos"/>
    <x v="2"/>
    <s v="Accessories"/>
    <s v="Phone Case"/>
    <s v="C1079"/>
    <s v="Returning"/>
    <n v="1"/>
    <n v="9000"/>
    <x v="0"/>
    <n v="9000"/>
    <n v="3500"/>
    <x v="0"/>
    <s v="Grace"/>
    <n v="9000"/>
    <n v="0"/>
    <n v="3500"/>
    <n v="5500"/>
    <n v="5"/>
    <b v="0"/>
    <n v="11"/>
    <b v="0"/>
  </r>
  <r>
    <n v="100335"/>
    <x v="173"/>
    <s v="IB-01"/>
    <s v="Ibadan"/>
    <x v="1"/>
    <s v="Electronics"/>
    <s v="Earbuds"/>
    <s v="C1105"/>
    <s v="New"/>
    <n v="1"/>
    <n v="32000"/>
    <x v="3"/>
    <n v="28800"/>
    <n v="19000"/>
    <x v="0"/>
    <s v="Aisha"/>
    <n v="28800"/>
    <n v="0"/>
    <n v="19000"/>
    <n v="9800"/>
    <n v="6"/>
    <b v="0"/>
    <n v="11"/>
    <b v="0"/>
  </r>
  <r>
    <n v="100336"/>
    <x v="69"/>
    <s v="IB-01"/>
    <s v="Ibadan"/>
    <x v="0"/>
    <s v="Electronics"/>
    <s v="Smartphone"/>
    <s v="C1154"/>
    <s v="Returning"/>
    <n v="2"/>
    <n v="165000"/>
    <x v="4"/>
    <n v="280500"/>
    <n v="112000"/>
    <x v="0"/>
    <s v="Fatima"/>
    <n v="280500"/>
    <n v="0"/>
    <n v="224000"/>
    <n v="56500"/>
    <n v="6"/>
    <b v="0"/>
    <n v="11"/>
    <b v="0"/>
  </r>
  <r>
    <n v="100337"/>
    <x v="69"/>
    <s v="KN-01"/>
    <s v="Kano"/>
    <x v="2"/>
    <s v="Accessories"/>
    <s v="USB Cable"/>
    <s v="C1086"/>
    <s v="New"/>
    <n v="3"/>
    <n v="6500"/>
    <x v="4"/>
    <n v="16575"/>
    <n v="2200"/>
    <x v="0"/>
    <s v="Chinedu"/>
    <n v="16575"/>
    <n v="0"/>
    <n v="6600"/>
    <n v="9975"/>
    <n v="4"/>
    <b v="0"/>
    <n v="11"/>
    <b v="0"/>
  </r>
  <r>
    <n v="100338"/>
    <x v="89"/>
    <s v="LG-01"/>
    <s v="Lagos"/>
    <x v="2"/>
    <s v="Home"/>
    <s v="Electric Kettle"/>
    <s v="C1069"/>
    <s v="New"/>
    <n v="2"/>
    <n v="24000"/>
    <x v="4"/>
    <n v="40800"/>
    <n v="15000"/>
    <x v="0"/>
    <s v="Aisha"/>
    <n v="40800"/>
    <n v="0"/>
    <n v="30000"/>
    <n v="10800"/>
    <n v="5"/>
    <b v="0"/>
    <n v="4"/>
    <b v="0"/>
  </r>
  <r>
    <n v="100339"/>
    <x v="174"/>
    <s v="LG-01"/>
    <s v="Lagos"/>
    <x v="2"/>
    <s v="Electronics"/>
    <s v="Power Bank"/>
    <s v="C1025"/>
    <s v="New"/>
    <n v="2"/>
    <n v="26000"/>
    <x v="1"/>
    <n v="49400"/>
    <n v="15000"/>
    <x v="0"/>
    <s v="Grace"/>
    <n v="49400"/>
    <n v="0"/>
    <n v="30000"/>
    <n v="19400"/>
    <n v="5"/>
    <b v="0"/>
    <n v="11"/>
    <b v="0"/>
  </r>
  <r>
    <n v="100340"/>
    <x v="114"/>
    <s v="AB-01"/>
    <s v="Abuja"/>
    <x v="1"/>
    <s v="Electronics"/>
    <s v="Smartphone"/>
    <s v="C1028"/>
    <s v="Returning"/>
    <n v="1"/>
    <n v="165000"/>
    <x v="4"/>
    <n v="140250"/>
    <n v="112000"/>
    <x v="0"/>
    <s v="Ibrahim"/>
    <n v="140250"/>
    <n v="0"/>
    <n v="112000"/>
    <n v="28250"/>
    <n v="5"/>
    <b v="0"/>
    <n v="11"/>
    <b v="0"/>
  </r>
  <r>
    <n v="100341"/>
    <x v="175"/>
    <s v="LG-01"/>
    <s v="Lagos"/>
    <x v="2"/>
    <s v="Electronics"/>
    <s v="Smartphone"/>
    <s v="C1171"/>
    <s v="Returning"/>
    <n v="3"/>
    <n v="165000"/>
    <x v="0"/>
    <n v="495000"/>
    <n v="112000"/>
    <x v="0"/>
    <s v="Chinedu"/>
    <n v="495000"/>
    <n v="0"/>
    <n v="336000"/>
    <n v="159000"/>
    <n v="5"/>
    <b v="0"/>
    <n v="11"/>
    <b v="0"/>
  </r>
  <r>
    <n v="100342"/>
    <x v="156"/>
    <s v="AB-01"/>
    <s v="Abuja"/>
    <x v="2"/>
    <s v="Electronics"/>
    <s v="Earbuds"/>
    <s v="C1127"/>
    <s v="Returning"/>
    <n v="4"/>
    <n v="32000"/>
    <x v="0"/>
    <n v="128000"/>
    <n v="19000"/>
    <x v="0"/>
    <s v="Ibrahim"/>
    <n v="128000"/>
    <n v="0"/>
    <n v="76000"/>
    <n v="52000"/>
    <n v="5"/>
    <b v="0"/>
    <n v="11"/>
    <b v="0"/>
  </r>
  <r>
    <n v="100343"/>
    <x v="176"/>
    <s v="KN-01"/>
    <s v="Kano"/>
    <x v="2"/>
    <s v="Electronics"/>
    <s v="Smartphone"/>
    <s v="C1061"/>
    <s v="Returning"/>
    <n v="4"/>
    <n v="165000"/>
    <x v="0"/>
    <n v="660000"/>
    <n v="112000"/>
    <x v="1"/>
    <s v="Fatima"/>
    <n v="660000"/>
    <n v="0"/>
    <n v="448000"/>
    <n v="212000"/>
    <n v="4"/>
    <b v="0"/>
    <n v="11"/>
    <b v="0"/>
  </r>
  <r>
    <n v="100344"/>
    <x v="143"/>
    <s v="IB-01"/>
    <s v="Ibadan"/>
    <x v="1"/>
    <s v="Home"/>
    <s v="Electric Kettle"/>
    <s v="C1159"/>
    <s v="New"/>
    <n v="2"/>
    <n v="24000"/>
    <x v="3"/>
    <n v="43200"/>
    <n v="15000"/>
    <x v="0"/>
    <s v="Bola"/>
    <n v="43200"/>
    <n v="0"/>
    <n v="30000"/>
    <n v="13200"/>
    <n v="6"/>
    <b v="0"/>
    <n v="4"/>
    <b v="0"/>
  </r>
  <r>
    <n v="100345"/>
    <x v="106"/>
    <s v="LG-01"/>
    <s v="Lagos"/>
    <x v="2"/>
    <s v="Home"/>
    <s v="Standing Fan"/>
    <s v="C1134"/>
    <s v="Returning"/>
    <n v="2"/>
    <n v="58000"/>
    <x v="4"/>
    <n v="98600"/>
    <n v="39000"/>
    <x v="0"/>
    <s v="Chinedu"/>
    <n v="98600"/>
    <n v="0"/>
    <n v="78000"/>
    <n v="20600"/>
    <n v="5"/>
    <b v="0"/>
    <n v="4"/>
    <b v="0"/>
  </r>
  <r>
    <n v="100346"/>
    <x v="87"/>
    <s v="AB-01"/>
    <s v="Abuja"/>
    <x v="2"/>
    <s v="Accessories"/>
    <s v="Phone Case"/>
    <s v="C1049"/>
    <s v="Returning"/>
    <n v="2"/>
    <n v="9000"/>
    <x v="4"/>
    <n v="15300"/>
    <n v="3500"/>
    <x v="0"/>
    <s v="Ibrahim"/>
    <n v="15300"/>
    <n v="0"/>
    <n v="7000"/>
    <n v="8300"/>
    <n v="5"/>
    <b v="0"/>
    <n v="11"/>
    <b v="0"/>
  </r>
  <r>
    <n v="100347"/>
    <x v="75"/>
    <s v="KN-01"/>
    <s v="Kano"/>
    <x v="2"/>
    <s v="Electronics"/>
    <s v="Earbuds"/>
    <s v="C1066"/>
    <s v="Returning"/>
    <n v="3"/>
    <n v="32000"/>
    <x v="0"/>
    <n v="96000"/>
    <n v="19000"/>
    <x v="0"/>
    <s v="Chinedu"/>
    <n v="96000"/>
    <n v="0"/>
    <n v="57000"/>
    <n v="39000"/>
    <n v="4"/>
    <b v="0"/>
    <n v="11"/>
    <b v="0"/>
  </r>
  <r>
    <n v="100348"/>
    <x v="151"/>
    <s v="KN-01"/>
    <s v="Kano"/>
    <x v="2"/>
    <s v="Home"/>
    <s v="Electric Kettle"/>
    <s v="C1096"/>
    <s v="Returning"/>
    <n v="5"/>
    <n v="24000"/>
    <x v="1"/>
    <n v="114000"/>
    <n v="15000"/>
    <x v="0"/>
    <s v="Chinedu"/>
    <n v="114000"/>
    <n v="0"/>
    <n v="75000"/>
    <n v="39000"/>
    <n v="4"/>
    <b v="0"/>
    <n v="4"/>
    <b v="0"/>
  </r>
  <r>
    <n v="100349"/>
    <x v="17"/>
    <s v="IB-01"/>
    <s v="Ibadan"/>
    <x v="2"/>
    <s v="Electronics"/>
    <s v="Earbuds"/>
    <s v="C1097"/>
    <s v="Returning"/>
    <n v="2"/>
    <n v="32000"/>
    <x v="4"/>
    <n v="54400"/>
    <n v="19000"/>
    <x v="0"/>
    <s v="Aisha"/>
    <n v="54400"/>
    <n v="0"/>
    <n v="38000"/>
    <n v="16400"/>
    <n v="6"/>
    <b v="0"/>
    <n v="11"/>
    <b v="0"/>
  </r>
  <r>
    <n v="100350"/>
    <x v="128"/>
    <s v="LG-01"/>
    <s v="Lagos"/>
    <x v="2"/>
    <s v="Home"/>
    <s v="Blender"/>
    <s v="C1110"/>
    <s v="New"/>
    <n v="3"/>
    <n v="42000"/>
    <x v="4"/>
    <n v="96390"/>
    <n v="28000"/>
    <x v="0"/>
    <s v="Fatima"/>
    <n v="107100"/>
    <n v="-10710"/>
    <n v="84000"/>
    <n v="23100"/>
    <n v="5"/>
    <b v="0"/>
    <n v="4"/>
    <b v="0"/>
  </r>
  <r>
    <n v="100351"/>
    <x v="170"/>
    <s v="KN-01"/>
    <s v="Kano"/>
    <x v="2"/>
    <s v="Electronics"/>
    <s v="Earbuds"/>
    <s v="C1029"/>
    <s v="New"/>
    <n v="2"/>
    <n v="32000"/>
    <x v="3"/>
    <n v="57600"/>
    <n v="19000"/>
    <x v="0"/>
    <s v="Bola"/>
    <n v="57600"/>
    <n v="0"/>
    <n v="38000"/>
    <n v="19600"/>
    <n v="4"/>
    <b v="0"/>
    <n v="11"/>
    <b v="0"/>
  </r>
  <r>
    <n v="100352"/>
    <x v="177"/>
    <s v="LG-01"/>
    <s v="Lagos"/>
    <x v="1"/>
    <s v="Electronics"/>
    <s v="Earbuds"/>
    <s v="C1071"/>
    <s v="New"/>
    <n v="2"/>
    <n v="32000"/>
    <x v="4"/>
    <n v="54400"/>
    <n v="19000"/>
    <x v="0"/>
    <s v="Bola"/>
    <n v="54400"/>
    <n v="0"/>
    <n v="38000"/>
    <n v="16400"/>
    <n v="5"/>
    <b v="0"/>
    <n v="11"/>
    <b v="0"/>
  </r>
  <r>
    <n v="100353"/>
    <x v="24"/>
    <s v="AB-01"/>
    <s v="Abuja"/>
    <x v="1"/>
    <s v="Accessories"/>
    <s v="Backpack"/>
    <s v="C1021"/>
    <s v="New"/>
    <n v="1"/>
    <n v="28000"/>
    <x v="4"/>
    <n v="23800"/>
    <n v="16000"/>
    <x v="0"/>
    <s v="Bola"/>
    <n v="23800"/>
    <n v="0"/>
    <n v="16000"/>
    <n v="7800"/>
    <n v="5"/>
    <b v="0"/>
    <n v="11"/>
    <b v="0"/>
  </r>
  <r>
    <n v="100354"/>
    <x v="34"/>
    <s v="IB-01"/>
    <s v="Ibadan"/>
    <x v="1"/>
    <s v="Accessories"/>
    <s v="Phone Case"/>
    <s v="C1091"/>
    <s v="Returning"/>
    <n v="1"/>
    <n v="9000"/>
    <x v="4"/>
    <n v="7650"/>
    <n v="3500"/>
    <x v="0"/>
    <s v="Fatima"/>
    <n v="7650"/>
    <n v="0"/>
    <n v="3500"/>
    <n v="4150"/>
    <n v="6"/>
    <b v="0"/>
    <n v="11"/>
    <b v="0"/>
  </r>
  <r>
    <n v="100355"/>
    <x v="136"/>
    <s v="LG-02"/>
    <s v="Lagos"/>
    <x v="1"/>
    <s v="Home"/>
    <s v="Blender"/>
    <s v="C1077"/>
    <s v="Returning"/>
    <n v="18"/>
    <n v="42000"/>
    <x v="3"/>
    <n v="680400"/>
    <n v="28000"/>
    <x v="0"/>
    <s v="Kemi"/>
    <n v="680400"/>
    <n v="0"/>
    <n v="504000"/>
    <n v="176400"/>
    <n v="5"/>
    <b v="0"/>
    <n v="4"/>
    <b v="0"/>
  </r>
  <r>
    <n v="100356"/>
    <x v="35"/>
    <s v="IB-01"/>
    <s v="Ibadan"/>
    <x v="1"/>
    <s v="Home"/>
    <s v="Standing Fan"/>
    <s v="C1178"/>
    <s v="Returning"/>
    <n v="4"/>
    <n v="58000"/>
    <x v="0"/>
    <n v="232000"/>
    <n v="39000"/>
    <x v="0"/>
    <s v="Bola"/>
    <n v="232000"/>
    <n v="0"/>
    <n v="156000"/>
    <n v="76000"/>
    <n v="6"/>
    <b v="0"/>
    <n v="4"/>
    <b v="0"/>
  </r>
  <r>
    <n v="100357"/>
    <x v="65"/>
    <s v="AB-02"/>
    <s v="Abuja"/>
    <x v="2"/>
    <s v="Electronics"/>
    <s v="Power Bank"/>
    <s v="C1049"/>
    <s v="Returning"/>
    <n v="1"/>
    <n v="26000"/>
    <x v="2"/>
    <n v="20800"/>
    <n v="15000"/>
    <x v="0"/>
    <s v="David"/>
    <n v="20800"/>
    <n v="0"/>
    <n v="15000"/>
    <n v="5800"/>
    <n v="5"/>
    <b v="0"/>
    <n v="11"/>
    <b v="0"/>
  </r>
  <r>
    <n v="100358"/>
    <x v="38"/>
    <s v="AB-02"/>
    <s v="Abuja"/>
    <x v="1"/>
    <s v="Electronics"/>
    <s v="Power Bank"/>
    <s v="C1000"/>
    <s v="Returning"/>
    <n v="2"/>
    <n v="26000"/>
    <x v="3"/>
    <n v="46800"/>
    <n v="15000"/>
    <x v="1"/>
    <s v="Bola"/>
    <n v="46800"/>
    <n v="0"/>
    <n v="30000"/>
    <n v="16800"/>
    <n v="5"/>
    <b v="0"/>
    <n v="11"/>
    <b v="0"/>
  </r>
  <r>
    <n v="100359"/>
    <x v="178"/>
    <s v="AB-02"/>
    <s v="Abuja"/>
    <x v="1"/>
    <s v="Accessories"/>
    <s v="Backpack"/>
    <s v="C1185"/>
    <s v="New"/>
    <n v="1"/>
    <n v="28000"/>
    <x v="0"/>
    <n v="28000"/>
    <n v="16000"/>
    <x v="0"/>
    <s v="Fatima"/>
    <n v="28000"/>
    <n v="0"/>
    <n v="16000"/>
    <n v="12000"/>
    <n v="5"/>
    <b v="0"/>
    <n v="11"/>
    <b v="0"/>
  </r>
  <r>
    <n v="100360"/>
    <x v="112"/>
    <s v="KN-01"/>
    <s v="Kano"/>
    <x v="1"/>
    <s v="Home"/>
    <s v="Blender"/>
    <s v="C1008"/>
    <s v="Returning"/>
    <n v="1"/>
    <n v="42000"/>
    <x v="4"/>
    <n v="35700"/>
    <n v="28000"/>
    <x v="0"/>
    <s v="Kemi"/>
    <n v="35700"/>
    <n v="0"/>
    <n v="28000"/>
    <n v="7700"/>
    <n v="4"/>
    <b v="0"/>
    <n v="4"/>
    <b v="0"/>
  </r>
  <r>
    <n v="100361"/>
    <x v="8"/>
    <s v="IB-01"/>
    <s v="Ibadan"/>
    <x v="1"/>
    <s v="Accessories"/>
    <s v="USB Cable"/>
    <s v="C1151"/>
    <s v="New"/>
    <n v="2"/>
    <n v="6500"/>
    <x v="1"/>
    <n v="12350"/>
    <n v="2200"/>
    <x v="0"/>
    <s v="Aisha"/>
    <n v="12350"/>
    <n v="0"/>
    <n v="4400"/>
    <n v="7950"/>
    <n v="6"/>
    <b v="0"/>
    <n v="11"/>
    <b v="0"/>
  </r>
  <r>
    <n v="100362"/>
    <x v="179"/>
    <s v="LG-02"/>
    <s v="Lagos"/>
    <x v="1"/>
    <s v="Accessories"/>
    <s v="Phone Case"/>
    <s v="C1132"/>
    <s v="New"/>
    <n v="4"/>
    <n v="9000"/>
    <x v="4"/>
    <n v="30600"/>
    <n v="3500"/>
    <x v="0"/>
    <s v="Ibrahim"/>
    <n v="30600"/>
    <n v="0"/>
    <n v="14000"/>
    <n v="16600"/>
    <n v="5"/>
    <b v="0"/>
    <n v="11"/>
    <b v="0"/>
  </r>
  <r>
    <n v="100363"/>
    <x v="79"/>
    <s v="IB-01"/>
    <s v="Ibadan"/>
    <x v="2"/>
    <s v="Home"/>
    <s v="Electric Kettle"/>
    <s v="C1190"/>
    <s v="Returning"/>
    <n v="2"/>
    <n v="24000"/>
    <x v="3"/>
    <n v="43200"/>
    <n v="15000"/>
    <x v="0"/>
    <s v="Ibrahim"/>
    <n v="43200"/>
    <n v="0"/>
    <n v="30000"/>
    <n v="13200"/>
    <n v="6"/>
    <b v="0"/>
    <n v="4"/>
    <b v="0"/>
  </r>
  <r>
    <n v="100364"/>
    <x v="65"/>
    <s v="AB-01"/>
    <s v="Abuja"/>
    <x v="2"/>
    <s v="Home"/>
    <s v="Electric Kettle"/>
    <s v="C1015"/>
    <s v="Returning"/>
    <n v="2"/>
    <n v="24000"/>
    <x v="5"/>
    <n v="36000"/>
    <n v="15000"/>
    <x v="1"/>
    <s v="Fatima"/>
    <n v="36000"/>
    <n v="0"/>
    <n v="30000"/>
    <n v="6000"/>
    <n v="5"/>
    <b v="0"/>
    <n v="4"/>
    <b v="0"/>
  </r>
  <r>
    <n v="100365"/>
    <x v="13"/>
    <s v="IB-01"/>
    <s v="Ibadan"/>
    <x v="0"/>
    <s v="Electronics"/>
    <s v="Smartphone"/>
    <s v="C1169"/>
    <s v="Returning"/>
    <n v="4"/>
    <n v="165000"/>
    <x v="1"/>
    <n v="627000"/>
    <n v="112000"/>
    <x v="0"/>
    <s v="Chinedu"/>
    <n v="627000"/>
    <n v="0"/>
    <n v="448000"/>
    <n v="179000"/>
    <n v="6"/>
    <b v="0"/>
    <n v="11"/>
    <b v="0"/>
  </r>
  <r>
    <n v="100366"/>
    <x v="180"/>
    <s v="AB-01"/>
    <s v="Abuja"/>
    <x v="0"/>
    <s v="Home"/>
    <s v="Electric Kettle"/>
    <s v="C1027"/>
    <s v="Returning"/>
    <n v="1"/>
    <n v="24000"/>
    <x v="5"/>
    <n v="18000"/>
    <n v="15000"/>
    <x v="1"/>
    <s v="Bola"/>
    <n v="18000"/>
    <n v="0"/>
    <n v="15000"/>
    <n v="3000"/>
    <n v="5"/>
    <b v="0"/>
    <n v="4"/>
    <b v="0"/>
  </r>
  <r>
    <n v="100367"/>
    <x v="151"/>
    <s v="KN-01"/>
    <s v="Kano"/>
    <x v="2"/>
    <s v="Accessories"/>
    <s v="Phone Case"/>
    <s v="C1187"/>
    <s v="Returning"/>
    <n v="2"/>
    <n v="9000"/>
    <x v="0"/>
    <n v="18000"/>
    <n v="3500"/>
    <x v="0"/>
    <s v="Kemi"/>
    <n v="18000"/>
    <n v="0"/>
    <n v="7000"/>
    <n v="11000"/>
    <n v="4"/>
    <b v="0"/>
    <n v="11"/>
    <b v="0"/>
  </r>
  <r>
    <n v="100368"/>
    <x v="85"/>
    <s v="LG-02"/>
    <s v="Lagos"/>
    <x v="2"/>
    <s v="Accessories"/>
    <s v="USB Cable"/>
    <s v="C1102"/>
    <s v="Returning"/>
    <n v="4"/>
    <n v="6500"/>
    <x v="1"/>
    <n v="24700"/>
    <n v="2200"/>
    <x v="0"/>
    <s v="Bola"/>
    <n v="24700"/>
    <n v="0"/>
    <n v="8800"/>
    <n v="15900"/>
    <n v="5"/>
    <b v="0"/>
    <n v="11"/>
    <b v="0"/>
  </r>
  <r>
    <n v="100369"/>
    <x v="79"/>
    <s v="KN-01"/>
    <s v="Kano"/>
    <x v="0"/>
    <s v="Electronics"/>
    <s v="Power Bank"/>
    <s v="C1102"/>
    <s v="Returning"/>
    <n v="2"/>
    <n v="26000"/>
    <x v="1"/>
    <n v="59280"/>
    <n v="15000"/>
    <x v="0"/>
    <s v="Bola"/>
    <n v="49400"/>
    <n v="9880"/>
    <n v="30000"/>
    <n v="19400"/>
    <n v="4"/>
    <b v="0"/>
    <n v="11"/>
    <b v="0"/>
  </r>
  <r>
    <n v="100370"/>
    <x v="181"/>
    <s v="LG-01"/>
    <s v="Lagos"/>
    <x v="0"/>
    <s v="Home"/>
    <s v="Standing Fan"/>
    <s v="C1002"/>
    <s v="Returning"/>
    <n v="1"/>
    <n v="58000"/>
    <x v="3"/>
    <n v="52200"/>
    <n v="39000"/>
    <x v="0"/>
    <s v="Grace"/>
    <n v="52200"/>
    <n v="0"/>
    <n v="39000"/>
    <n v="13200"/>
    <n v="5"/>
    <b v="0"/>
    <n v="4"/>
    <b v="0"/>
  </r>
  <r>
    <n v="100371"/>
    <x v="19"/>
    <s v="IB-01"/>
    <s v="Ibadan"/>
    <x v="2"/>
    <s v="Home"/>
    <s v="Standing Fan"/>
    <s v="C1170"/>
    <s v="New"/>
    <n v="3"/>
    <n v="58000"/>
    <x v="3"/>
    <n v="156600"/>
    <n v="39000"/>
    <x v="0"/>
    <s v="Grace"/>
    <n v="156600"/>
    <n v="0"/>
    <n v="117000"/>
    <n v="39600"/>
    <n v="6"/>
    <b v="0"/>
    <n v="4"/>
    <b v="0"/>
  </r>
  <r>
    <n v="100372"/>
    <x v="84"/>
    <s v="AB-01"/>
    <s v="Abuja"/>
    <x v="2"/>
    <s v="Home"/>
    <s v="Electric Kettle"/>
    <s v="C1124"/>
    <s v="Returning"/>
    <n v="1"/>
    <n v="24000"/>
    <x v="0"/>
    <n v="24000"/>
    <n v="15000"/>
    <x v="0"/>
    <s v="Grace"/>
    <n v="24000"/>
    <n v="0"/>
    <n v="15000"/>
    <n v="9000"/>
    <n v="5"/>
    <b v="0"/>
    <n v="4"/>
    <b v="0"/>
  </r>
  <r>
    <n v="100373"/>
    <x v="135"/>
    <s v="AB-01"/>
    <s v="Abuja"/>
    <x v="2"/>
    <s v="Home"/>
    <s v="Standing Fan"/>
    <s v="C1025"/>
    <s v="New"/>
    <n v="2"/>
    <n v="58000"/>
    <x v="2"/>
    <n v="92800"/>
    <n v="39000"/>
    <x v="1"/>
    <s v="Chinedu"/>
    <n v="92800"/>
    <n v="0"/>
    <n v="78000"/>
    <n v="14800"/>
    <n v="5"/>
    <b v="0"/>
    <n v="4"/>
    <b v="0"/>
  </r>
  <r>
    <n v="100374"/>
    <x v="89"/>
    <s v="KN-01"/>
    <s v="Kano"/>
    <x v="1"/>
    <s v="Home"/>
    <s v="Electric Kettle"/>
    <s v="C1063"/>
    <s v="New"/>
    <n v="1"/>
    <n v="24000"/>
    <x v="1"/>
    <n v="22800"/>
    <n v="15000"/>
    <x v="0"/>
    <s v="Fatima"/>
    <n v="22800"/>
    <n v="0"/>
    <n v="15000"/>
    <n v="7800"/>
    <n v="4"/>
    <b v="0"/>
    <n v="4"/>
    <b v="0"/>
  </r>
  <r>
    <n v="100375"/>
    <x v="173"/>
    <s v="AB-01"/>
    <s v="Abuja"/>
    <x v="2"/>
    <s v="Home"/>
    <s v="Blender"/>
    <s v="C1085"/>
    <s v="New"/>
    <n v="2"/>
    <n v="42000"/>
    <x v="5"/>
    <n v="63000"/>
    <n v="28000"/>
    <x v="0"/>
    <s v="Chinedu"/>
    <n v="63000"/>
    <n v="0"/>
    <n v="56000"/>
    <n v="7000"/>
    <n v="5"/>
    <b v="0"/>
    <n v="4"/>
    <b v="0"/>
  </r>
  <r>
    <n v="100376"/>
    <x v="182"/>
    <s v="KN-01"/>
    <s v="Kano"/>
    <x v="2"/>
    <s v="Electronics"/>
    <s v="Smartphone"/>
    <s v="C1160"/>
    <s v="New"/>
    <n v="1"/>
    <n v="165000"/>
    <x v="3"/>
    <n v="148500"/>
    <n v="112000"/>
    <x v="0"/>
    <s v="Kemi"/>
    <n v="148500"/>
    <n v="0"/>
    <n v="112000"/>
    <n v="36500"/>
    <n v="4"/>
    <b v="0"/>
    <n v="11"/>
    <b v="0"/>
  </r>
  <r>
    <n v="100377"/>
    <x v="71"/>
    <s v="LG-02"/>
    <s v="Lagos"/>
    <x v="2"/>
    <s v="Accessories"/>
    <s v="USB Cable"/>
    <s v="C1048"/>
    <s v="New"/>
    <n v="3"/>
    <n v="6500"/>
    <x v="1"/>
    <n v="18525"/>
    <n v="2200"/>
    <x v="1"/>
    <s v="Kemi"/>
    <n v="18525"/>
    <n v="0"/>
    <n v="6600"/>
    <n v="11925"/>
    <n v="5"/>
    <b v="0"/>
    <n v="11"/>
    <b v="0"/>
  </r>
  <r>
    <n v="100378"/>
    <x v="98"/>
    <s v="IB-01"/>
    <s v="Ibadan"/>
    <x v="1"/>
    <s v="Electronics"/>
    <s v="Smartphone"/>
    <s v="C1007"/>
    <s v="New"/>
    <n v="3"/>
    <n v="165000"/>
    <x v="1"/>
    <n v="470250"/>
    <n v="112000"/>
    <x v="0"/>
    <s v="Aisha"/>
    <n v="470250"/>
    <n v="0"/>
    <n v="336000"/>
    <n v="134250"/>
    <n v="6"/>
    <b v="0"/>
    <n v="11"/>
    <b v="0"/>
  </r>
  <r>
    <n v="100379"/>
    <x v="122"/>
    <s v="AB-01"/>
    <s v="Abuja"/>
    <x v="2"/>
    <s v="Home"/>
    <s v="Standing Fan"/>
    <s v="C1022"/>
    <s v="Returning"/>
    <n v="3"/>
    <n v="58000"/>
    <x v="5"/>
    <n v="130500"/>
    <n v="39000"/>
    <x v="0"/>
    <s v="Ibrahim"/>
    <n v="130500"/>
    <n v="0"/>
    <n v="117000"/>
    <n v="13500"/>
    <n v="5"/>
    <b v="0"/>
    <n v="4"/>
    <b v="0"/>
  </r>
  <r>
    <n v="100380"/>
    <x v="130"/>
    <s v="KN-01"/>
    <s v="Kano"/>
    <x v="0"/>
    <s v="Electronics"/>
    <s v="Earbuds"/>
    <s v="C1119"/>
    <s v="Returning"/>
    <n v="2"/>
    <n v="32000"/>
    <x v="4"/>
    <n v="54400"/>
    <n v="19000"/>
    <x v="0"/>
    <s v="Kemi"/>
    <n v="54400"/>
    <n v="0"/>
    <n v="38000"/>
    <n v="16400"/>
    <n v="4"/>
    <b v="0"/>
    <n v="11"/>
    <b v="0"/>
  </r>
  <r>
    <n v="100381"/>
    <x v="183"/>
    <s v="PH-01"/>
    <s v="Port Harcourt"/>
    <x v="2"/>
    <s v="Accessories"/>
    <s v="Phone Case"/>
    <s v="C1190"/>
    <s v="Returning"/>
    <n v="2"/>
    <n v="9000"/>
    <x v="1"/>
    <n v="17100"/>
    <n v="3500"/>
    <x v="0"/>
    <s v="Kemi"/>
    <n v="17100"/>
    <n v="0"/>
    <n v="7000"/>
    <n v="10100"/>
    <n v="13"/>
    <b v="0"/>
    <n v="11"/>
    <b v="0"/>
  </r>
  <r>
    <n v="100382"/>
    <x v="184"/>
    <s v="PH-01"/>
    <s v="Port Harcourt"/>
    <x v="1"/>
    <s v="Home"/>
    <s v="Blender"/>
    <s v="C1172"/>
    <s v="New"/>
    <n v="4"/>
    <n v="42000"/>
    <x v="4"/>
    <n v="142800"/>
    <n v="28000"/>
    <x v="0"/>
    <s v="Aisha"/>
    <n v="142800"/>
    <n v="0"/>
    <n v="112000"/>
    <n v="30800"/>
    <n v="13"/>
    <b v="0"/>
    <n v="4"/>
    <b v="0"/>
  </r>
  <r>
    <n v="100383"/>
    <x v="185"/>
    <s v="LG-01"/>
    <s v="Lagos"/>
    <x v="2"/>
    <s v="Accessories"/>
    <s v="USB Cable"/>
    <s v="C1042"/>
    <s v="Returning"/>
    <n v="22"/>
    <n v="6500"/>
    <x v="0"/>
    <n v="143000"/>
    <n v="2200"/>
    <x v="0"/>
    <s v="David"/>
    <n v="143000"/>
    <n v="0"/>
    <n v="48400"/>
    <n v="94600"/>
    <n v="5"/>
    <b v="0"/>
    <n v="11"/>
    <b v="0"/>
  </r>
  <r>
    <n v="100384"/>
    <x v="66"/>
    <s v="IB-01"/>
    <s v="Ibadan"/>
    <x v="1"/>
    <s v="Home"/>
    <s v="Electric Kettle"/>
    <s v="C1026"/>
    <s v="Returning"/>
    <n v="3"/>
    <n v="24000"/>
    <x v="1"/>
    <n v="68400"/>
    <n v="15000"/>
    <x v="0"/>
    <s v="Ibrahim"/>
    <n v="68400"/>
    <n v="0"/>
    <n v="45000"/>
    <n v="23400"/>
    <n v="6"/>
    <b v="0"/>
    <n v="4"/>
    <b v="0"/>
  </r>
  <r>
    <n v="100385"/>
    <x v="108"/>
    <s v="LG-02"/>
    <s v="Lagos"/>
    <x v="2"/>
    <s v="Electronics"/>
    <s v="Smartphone"/>
    <s v="C1111"/>
    <s v="Returning"/>
    <n v="3"/>
    <n v="165000"/>
    <x v="0"/>
    <n v="495000"/>
    <n v="112000"/>
    <x v="0"/>
    <s v="Kemi"/>
    <n v="495000"/>
    <n v="0"/>
    <n v="336000"/>
    <n v="159000"/>
    <n v="5"/>
    <b v="0"/>
    <n v="11"/>
    <b v="0"/>
  </r>
  <r>
    <n v="100386"/>
    <x v="73"/>
    <s v="LG-01"/>
    <s v="Lagos"/>
    <x v="0"/>
    <s v="Accessories"/>
    <s v="Phone Case"/>
    <s v="C1068"/>
    <s v="New"/>
    <n v="3"/>
    <n v="9000"/>
    <x v="0"/>
    <n v="27000"/>
    <n v="3500"/>
    <x v="0"/>
    <s v="Ibrahim"/>
    <n v="27000"/>
    <n v="0"/>
    <n v="10500"/>
    <n v="16500"/>
    <n v="5"/>
    <b v="0"/>
    <n v="11"/>
    <b v="0"/>
  </r>
  <r>
    <n v="100387"/>
    <x v="150"/>
    <s v="IB-01"/>
    <s v="Ibadan"/>
    <x v="2"/>
    <s v="Electronics"/>
    <s v="Earbuds"/>
    <s v="C1175"/>
    <s v="Returning"/>
    <n v="4"/>
    <n v="32000"/>
    <x v="3"/>
    <n v="115200"/>
    <n v="19000"/>
    <x v="0"/>
    <s v="Kemi"/>
    <n v="115200"/>
    <n v="0"/>
    <n v="76000"/>
    <n v="39200"/>
    <n v="6"/>
    <b v="0"/>
    <n v="11"/>
    <b v="0"/>
  </r>
  <r>
    <n v="100388"/>
    <x v="186"/>
    <s v="PH-01"/>
    <s v="Port Harcourt"/>
    <x v="2"/>
    <s v="Electronics"/>
    <s v="Earbuds"/>
    <s v="C1185"/>
    <s v="Returning"/>
    <n v="1"/>
    <n v="32000"/>
    <x v="0"/>
    <n v="32000"/>
    <n v="19000"/>
    <x v="0"/>
    <s v="Bola"/>
    <n v="32000"/>
    <n v="0"/>
    <n v="19000"/>
    <n v="13000"/>
    <n v="13"/>
    <b v="0"/>
    <n v="11"/>
    <b v="0"/>
  </r>
  <r>
    <n v="100389"/>
    <x v="70"/>
    <s v="IB-01"/>
    <s v="Ibadan"/>
    <x v="2"/>
    <s v="Home"/>
    <s v="Electric Kettle"/>
    <s v="C1029"/>
    <s v="New"/>
    <n v="1"/>
    <n v="24000"/>
    <x v="1"/>
    <n v="22800"/>
    <n v="15000"/>
    <x v="0"/>
    <s v="Aisha"/>
    <n v="22800"/>
    <n v="0"/>
    <n v="15000"/>
    <n v="7800"/>
    <n v="6"/>
    <b v="0"/>
    <n v="4"/>
    <b v="0"/>
  </r>
  <r>
    <n v="100390"/>
    <x v="187"/>
    <s v="KN-01"/>
    <s v="Kano"/>
    <x v="0"/>
    <s v="Home"/>
    <s v="Standing Fan"/>
    <s v="C1066"/>
    <s v="Returning"/>
    <n v="2"/>
    <n v="58000"/>
    <x v="3"/>
    <n v="104400"/>
    <n v="39000"/>
    <x v="0"/>
    <s v="Ibrahim"/>
    <n v="104400"/>
    <n v="0"/>
    <n v="78000"/>
    <n v="26400"/>
    <n v="4"/>
    <b v="0"/>
    <n v="4"/>
    <b v="0"/>
  </r>
  <r>
    <n v="100391"/>
    <x v="188"/>
    <s v="KN-01"/>
    <s v="Kano"/>
    <x v="1"/>
    <s v="Accessories"/>
    <s v="Phone Case"/>
    <s v="C1150"/>
    <s v="New"/>
    <n v="1"/>
    <n v="9000"/>
    <x v="1"/>
    <n v="8550"/>
    <n v="3500"/>
    <x v="0"/>
    <s v="David"/>
    <n v="8550"/>
    <n v="0"/>
    <n v="3500"/>
    <n v="5050"/>
    <n v="4"/>
    <b v="0"/>
    <n v="11"/>
    <b v="0"/>
  </r>
  <r>
    <n v="100392"/>
    <x v="46"/>
    <s v="LG-02"/>
    <s v="Lagos"/>
    <x v="2"/>
    <s v="Accessories"/>
    <s v="USB Cable"/>
    <s v="C1072"/>
    <s v="New"/>
    <n v="2"/>
    <n v="6500"/>
    <x v="4"/>
    <n v="11050"/>
    <n v="2200"/>
    <x v="0"/>
    <s v="David"/>
    <n v="11050"/>
    <n v="0"/>
    <n v="4400"/>
    <n v="6650"/>
    <n v="5"/>
    <b v="0"/>
    <n v="11"/>
    <b v="0"/>
  </r>
  <r>
    <n v="100393"/>
    <x v="42"/>
    <s v="KN-01"/>
    <s v="Kano"/>
    <x v="1"/>
    <s v="Accessories"/>
    <s v="USB Cable"/>
    <s v="C1001"/>
    <s v="Returning"/>
    <n v="2"/>
    <n v="6500"/>
    <x v="3"/>
    <n v="11700"/>
    <n v="2200"/>
    <x v="0"/>
    <s v="Chinedu"/>
    <n v="11700"/>
    <n v="0"/>
    <n v="4400"/>
    <n v="7300"/>
    <n v="4"/>
    <b v="0"/>
    <n v="11"/>
    <b v="0"/>
  </r>
  <r>
    <n v="100394"/>
    <x v="63"/>
    <s v="LG-01"/>
    <s v="Lagos"/>
    <x v="1"/>
    <s v="Accessories"/>
    <s v="Phone Case"/>
    <s v="C1065"/>
    <s v="Returning"/>
    <n v="3"/>
    <n v="9000"/>
    <x v="1"/>
    <n v="25650"/>
    <n v="3500"/>
    <x v="0"/>
    <s v="Aisha"/>
    <n v="25650"/>
    <n v="0"/>
    <n v="10500"/>
    <n v="15150"/>
    <n v="5"/>
    <b v="0"/>
    <n v="11"/>
    <b v="0"/>
  </r>
  <r>
    <n v="100395"/>
    <x v="38"/>
    <s v="KN-01"/>
    <s v="Kano"/>
    <x v="0"/>
    <s v="Accessories"/>
    <s v="Backpack"/>
    <s v="C1089"/>
    <s v="Returning"/>
    <n v="2"/>
    <n v="28000"/>
    <x v="1"/>
    <n v="53200"/>
    <n v="16000"/>
    <x v="0"/>
    <s v="Aisha"/>
    <n v="53200"/>
    <n v="0"/>
    <n v="32000"/>
    <n v="21200"/>
    <n v="4"/>
    <b v="0"/>
    <n v="11"/>
    <b v="0"/>
  </r>
  <r>
    <n v="100396"/>
    <x v="86"/>
    <s v="AB-01"/>
    <s v="Abuja"/>
    <x v="2"/>
    <s v="Home"/>
    <s v="Electric Kettle"/>
    <s v="C1138"/>
    <s v="Returning"/>
    <n v="1"/>
    <n v="24000"/>
    <x v="2"/>
    <n v="19200"/>
    <n v="15000"/>
    <x v="0"/>
    <s v="Bola"/>
    <n v="19200"/>
    <n v="0"/>
    <n v="15000"/>
    <n v="4200"/>
    <n v="5"/>
    <b v="0"/>
    <n v="4"/>
    <b v="0"/>
  </r>
  <r>
    <n v="100397"/>
    <x v="70"/>
    <s v="LG-02"/>
    <s v="Lagos"/>
    <x v="0"/>
    <s v="Electronics"/>
    <s v="Smartphone"/>
    <s v="C1039"/>
    <s v="New"/>
    <n v="3"/>
    <n v="165000"/>
    <x v="0"/>
    <n v="495000"/>
    <n v="112000"/>
    <x v="0"/>
    <s v="Grace"/>
    <n v="495000"/>
    <n v="0"/>
    <n v="336000"/>
    <n v="159000"/>
    <n v="5"/>
    <b v="0"/>
    <n v="11"/>
    <b v="0"/>
  </r>
  <r>
    <n v="100398"/>
    <x v="189"/>
    <s v="LG-01"/>
    <s v="Lagos"/>
    <x v="2"/>
    <s v="Home"/>
    <s v="Standing Fan"/>
    <s v="C1134"/>
    <s v="Returning"/>
    <n v="4"/>
    <n v="58000"/>
    <x v="0"/>
    <n v="232000"/>
    <n v="39000"/>
    <x v="0"/>
    <s v="Grace"/>
    <n v="232000"/>
    <n v="0"/>
    <n v="156000"/>
    <n v="76000"/>
    <n v="5"/>
    <b v="0"/>
    <n v="4"/>
    <b v="0"/>
  </r>
  <r>
    <n v="100399"/>
    <x v="190"/>
    <s v="KN-01"/>
    <s v="Kano"/>
    <x v="1"/>
    <s v="Electronics"/>
    <s v="Power Bank"/>
    <s v="C1133"/>
    <s v="Returning"/>
    <n v="2"/>
    <n v="26000"/>
    <x v="3"/>
    <n v="46800"/>
    <n v="15000"/>
    <x v="0"/>
    <s v="Chinedu"/>
    <n v="46800"/>
    <n v="0"/>
    <n v="30000"/>
    <n v="16800"/>
    <n v="4"/>
    <b v="0"/>
    <n v="11"/>
    <b v="0"/>
  </r>
  <r>
    <n v="100400"/>
    <x v="17"/>
    <s v="IB-01"/>
    <s v="Ibadan"/>
    <x v="0"/>
    <s v="Home"/>
    <s v="Standing Fan"/>
    <s v="C1039"/>
    <s v="New"/>
    <n v="1"/>
    <n v="58000"/>
    <x v="0"/>
    <n v="58000"/>
    <n v="39000"/>
    <x v="0"/>
    <s v="Aisha"/>
    <n v="58000"/>
    <n v="0"/>
    <n v="39000"/>
    <n v="19000"/>
    <n v="6"/>
    <b v="0"/>
    <n v="4"/>
    <b v="0"/>
  </r>
  <r>
    <n v="100401"/>
    <x v="191"/>
    <s v="IB-01"/>
    <s v="Ibadan"/>
    <x v="1"/>
    <s v="Electronics"/>
    <s v="Smartphone"/>
    <s v="C1158"/>
    <s v="Returning"/>
    <n v="3"/>
    <n v="165000"/>
    <x v="0"/>
    <n v="495000"/>
    <n v="112000"/>
    <x v="1"/>
    <s v="Fatima"/>
    <n v="495000"/>
    <n v="0"/>
    <n v="336000"/>
    <n v="159000"/>
    <n v="6"/>
    <b v="0"/>
    <n v="11"/>
    <b v="0"/>
  </r>
  <r>
    <n v="100402"/>
    <x v="102"/>
    <s v="IB-01"/>
    <s v="Ibadan"/>
    <x v="0"/>
    <s v="Electronics"/>
    <s v="Smartphone"/>
    <s v="C1062"/>
    <s v="Returning"/>
    <n v="1"/>
    <n v="165000"/>
    <x v="3"/>
    <n v="148500"/>
    <n v="112000"/>
    <x v="0"/>
    <s v="Aisha"/>
    <n v="148500"/>
    <n v="0"/>
    <n v="112000"/>
    <n v="36500"/>
    <n v="6"/>
    <b v="0"/>
    <n v="11"/>
    <b v="0"/>
  </r>
  <r>
    <n v="100403"/>
    <x v="129"/>
    <s v="PH-01"/>
    <s v="Port Harcourt"/>
    <x v="2"/>
    <s v="Home"/>
    <s v="Blender"/>
    <s v="C1149"/>
    <s v="New"/>
    <n v="3"/>
    <n v="42000"/>
    <x v="1"/>
    <n v="95760"/>
    <n v="28000"/>
    <x v="0"/>
    <s v="Fatima"/>
    <n v="119700"/>
    <n v="-23940"/>
    <n v="84000"/>
    <n v="35700"/>
    <n v="13"/>
    <b v="0"/>
    <n v="4"/>
    <b v="0"/>
  </r>
  <r>
    <n v="100404"/>
    <x v="83"/>
    <s v="KN-01"/>
    <s v="Kano"/>
    <x v="1"/>
    <s v="Home"/>
    <s v="Blender"/>
    <s v="C1123"/>
    <s v="Returning"/>
    <n v="1"/>
    <n v="42000"/>
    <x v="0"/>
    <n v="42000"/>
    <n v="28000"/>
    <x v="0"/>
    <s v="Fatima"/>
    <n v="42000"/>
    <n v="0"/>
    <n v="28000"/>
    <n v="14000"/>
    <n v="4"/>
    <b v="0"/>
    <n v="4"/>
    <b v="0"/>
  </r>
  <r>
    <n v="100405"/>
    <x v="30"/>
    <s v="PH-01"/>
    <s v="Port Harcourt"/>
    <x v="1"/>
    <s v="Home"/>
    <s v="Blender"/>
    <s v="C1182"/>
    <s v="New"/>
    <n v="3"/>
    <n v="42000"/>
    <x v="0"/>
    <n v="126000"/>
    <n v="28000"/>
    <x v="1"/>
    <s v="Grace"/>
    <n v="126000"/>
    <n v="0"/>
    <n v="84000"/>
    <n v="42000"/>
    <n v="13"/>
    <b v="0"/>
    <n v="4"/>
    <b v="0"/>
  </r>
  <r>
    <n v="100406"/>
    <x v="152"/>
    <s v="AB-02"/>
    <s v="Abuja"/>
    <x v="1"/>
    <s v="Electronics"/>
    <s v="Power Bank"/>
    <s v="C1162"/>
    <s v="New"/>
    <n v="1"/>
    <n v="26000"/>
    <x v="0"/>
    <n v="26000"/>
    <n v="15000"/>
    <x v="0"/>
    <s v="Ibrahim"/>
    <n v="26000"/>
    <n v="0"/>
    <n v="15000"/>
    <n v="11000"/>
    <n v="5"/>
    <b v="0"/>
    <n v="11"/>
    <b v="0"/>
  </r>
  <r>
    <n v="100407"/>
    <x v="180"/>
    <s v="LG-02"/>
    <s v="Lagos"/>
    <x v="2"/>
    <s v="Electronics"/>
    <s v="Earbuds"/>
    <s v="C1116"/>
    <s v="Returning"/>
    <n v="2"/>
    <n v="32000"/>
    <x v="3"/>
    <n v="57600"/>
    <n v="19000"/>
    <x v="0"/>
    <s v="Kemi"/>
    <n v="57600"/>
    <n v="0"/>
    <n v="38000"/>
    <n v="19600"/>
    <n v="5"/>
    <b v="0"/>
    <n v="11"/>
    <b v="0"/>
  </r>
  <r>
    <n v="100408"/>
    <x v="71"/>
    <s v="KN-01"/>
    <s v="Kano"/>
    <x v="1"/>
    <s v="Electronics"/>
    <s v="Smartphone"/>
    <s v="C1001"/>
    <s v="Returning"/>
    <n v="1"/>
    <n v="165000"/>
    <x v="4"/>
    <n v="140250"/>
    <n v="112000"/>
    <x v="0"/>
    <s v="Kemi"/>
    <n v="140250"/>
    <n v="0"/>
    <n v="112000"/>
    <n v="28250"/>
    <n v="4"/>
    <b v="0"/>
    <n v="11"/>
    <b v="0"/>
  </r>
  <r>
    <n v="100409"/>
    <x v="44"/>
    <s v="KN-01"/>
    <s v="Kano"/>
    <x v="1"/>
    <s v="Accessories"/>
    <s v="USB Cable"/>
    <s v="C1081"/>
    <s v="Returning"/>
    <n v="2"/>
    <n v="6500"/>
    <x v="3"/>
    <n v="11700"/>
    <n v="2200"/>
    <x v="0"/>
    <s v="Bola"/>
    <n v="11700"/>
    <n v="0"/>
    <n v="4400"/>
    <n v="7300"/>
    <n v="4"/>
    <b v="0"/>
    <n v="11"/>
    <b v="0"/>
  </r>
  <r>
    <n v="100410"/>
    <x v="100"/>
    <s v="PH-01"/>
    <s v="Port Harcourt"/>
    <x v="0"/>
    <s v="Electronics"/>
    <s v="Earbuds"/>
    <s v="C1104"/>
    <s v="Returning"/>
    <n v="1"/>
    <n v="32000"/>
    <x v="4"/>
    <n v="27200"/>
    <n v="19000"/>
    <x v="0"/>
    <s v="Grace"/>
    <n v="27200"/>
    <n v="0"/>
    <n v="19000"/>
    <n v="8200"/>
    <n v="13"/>
    <b v="0"/>
    <n v="11"/>
    <b v="0"/>
  </r>
  <r>
    <n v="100411"/>
    <x v="167"/>
    <s v="AB-01"/>
    <s v="Abuja"/>
    <x v="1"/>
    <s v="Home"/>
    <s v="Standing Fan"/>
    <s v="C1154"/>
    <s v="Returning"/>
    <n v="2"/>
    <n v="58000"/>
    <x v="2"/>
    <n v="92800"/>
    <n v="39000"/>
    <x v="1"/>
    <s v="Kemi"/>
    <n v="92800"/>
    <n v="0"/>
    <n v="78000"/>
    <n v="14800"/>
    <n v="5"/>
    <b v="0"/>
    <n v="4"/>
    <b v="0"/>
  </r>
  <r>
    <n v="100412"/>
    <x v="88"/>
    <s v="IB-01"/>
    <s v="Ibadan"/>
    <x v="1"/>
    <s v="Electronics"/>
    <s v="Smartphone"/>
    <s v="C1164"/>
    <s v="Returning"/>
    <n v="5"/>
    <n v="165000"/>
    <x v="3"/>
    <n v="742500"/>
    <n v="112000"/>
    <x v="0"/>
    <s v="Aisha"/>
    <n v="742500"/>
    <n v="0"/>
    <n v="560000"/>
    <n v="182500"/>
    <n v="6"/>
    <b v="0"/>
    <n v="11"/>
    <b v="0"/>
  </r>
  <r>
    <n v="100413"/>
    <x v="81"/>
    <s v="PH-01"/>
    <s v="Port Harcourt"/>
    <x v="2"/>
    <s v="Home"/>
    <s v="Standing Fan"/>
    <s v="C1113"/>
    <s v="New"/>
    <n v="2"/>
    <n v="58000"/>
    <x v="0"/>
    <n v="116000"/>
    <n v="39000"/>
    <x v="0"/>
    <s v="Chinedu"/>
    <n v="116000"/>
    <n v="0"/>
    <n v="78000"/>
    <n v="38000"/>
    <n v="13"/>
    <b v="0"/>
    <n v="4"/>
    <b v="0"/>
  </r>
  <r>
    <n v="100414"/>
    <x v="192"/>
    <s v="IB-01"/>
    <s v="Ibadan"/>
    <x v="2"/>
    <s v="Home"/>
    <s v="Blender"/>
    <s v="C1061"/>
    <s v="Returning"/>
    <n v="1"/>
    <n v="42000"/>
    <x v="3"/>
    <n v="37800"/>
    <n v="28000"/>
    <x v="0"/>
    <s v="Aisha"/>
    <n v="37800"/>
    <n v="0"/>
    <n v="28000"/>
    <n v="9800"/>
    <n v="6"/>
    <b v="0"/>
    <n v="4"/>
    <b v="0"/>
  </r>
  <r>
    <n v="100415"/>
    <x v="158"/>
    <s v="LG-01"/>
    <s v="Lagos"/>
    <x v="2"/>
    <s v="Accessories"/>
    <s v="USB Cable"/>
    <s v="C1018"/>
    <s v="Returning"/>
    <n v="2"/>
    <n v="6500"/>
    <x v="1"/>
    <n v="12350"/>
    <n v="2200"/>
    <x v="0"/>
    <s v="Bola"/>
    <n v="12350"/>
    <n v="0"/>
    <n v="4400"/>
    <n v="7950"/>
    <n v="5"/>
    <b v="0"/>
    <n v="11"/>
    <b v="0"/>
  </r>
  <r>
    <n v="100416"/>
    <x v="8"/>
    <s v="PH-01"/>
    <s v="Port Harcourt"/>
    <x v="0"/>
    <s v="Electronics"/>
    <s v="Power Bank"/>
    <s v="C1012"/>
    <s v="New"/>
    <n v="4"/>
    <n v="26000"/>
    <x v="0"/>
    <n v="104000"/>
    <n v="15000"/>
    <x v="1"/>
    <s v="David"/>
    <n v="104000"/>
    <n v="0"/>
    <n v="60000"/>
    <n v="44000"/>
    <n v="13"/>
    <b v="0"/>
    <n v="11"/>
    <b v="0"/>
  </r>
  <r>
    <n v="100417"/>
    <x v="80"/>
    <s v="PH-01"/>
    <s v="Port Harcourt"/>
    <x v="1"/>
    <s v="Electronics"/>
    <s v="Smartphone"/>
    <s v="C1027"/>
    <s v="Returning"/>
    <n v="4"/>
    <n v="165000"/>
    <x v="3"/>
    <n v="594000"/>
    <n v="112000"/>
    <x v="0"/>
    <s v="Bola"/>
    <n v="594000"/>
    <n v="0"/>
    <n v="448000"/>
    <n v="146000"/>
    <n v="13"/>
    <b v="0"/>
    <n v="11"/>
    <b v="0"/>
  </r>
  <r>
    <n v="100418"/>
    <x v="152"/>
    <s v="PH-01"/>
    <s v="Port Harcourt"/>
    <x v="2"/>
    <s v="Electronics"/>
    <s v="Power Bank"/>
    <s v="C1088"/>
    <s v="Returning"/>
    <n v="3"/>
    <n v="26000"/>
    <x v="0"/>
    <n v="78000"/>
    <n v="15000"/>
    <x v="0"/>
    <s v="Chinedu"/>
    <n v="78000"/>
    <n v="0"/>
    <n v="45000"/>
    <n v="33000"/>
    <n v="13"/>
    <b v="0"/>
    <n v="11"/>
    <b v="0"/>
  </r>
  <r>
    <n v="100419"/>
    <x v="60"/>
    <s v="PH-01"/>
    <s v="Port Harcourt"/>
    <x v="2"/>
    <s v="Home"/>
    <s v="Standing Fan"/>
    <s v="C1006"/>
    <s v="Returning"/>
    <n v="4"/>
    <n v="58000"/>
    <x v="1"/>
    <n v="220400"/>
    <n v="39000"/>
    <x v="0"/>
    <s v="Ibrahim"/>
    <n v="220400"/>
    <n v="0"/>
    <n v="156000"/>
    <n v="64400"/>
    <n v="13"/>
    <b v="0"/>
    <n v="4"/>
    <b v="0"/>
  </r>
  <r>
    <n v="100420"/>
    <x v="2"/>
    <s v="KN-01"/>
    <s v="Kano"/>
    <x v="0"/>
    <s v="Electronics"/>
    <s v="Smartphone"/>
    <s v="C1089"/>
    <s v="Returning"/>
    <n v="2"/>
    <n v="165000"/>
    <x v="1"/>
    <n v="313500"/>
    <n v="112000"/>
    <x v="0"/>
    <s v="Ibrahim"/>
    <n v="313500"/>
    <n v="0"/>
    <n v="224000"/>
    <n v="89500"/>
    <n v="4"/>
    <b v="0"/>
    <n v="11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80C194-1C6A-4CD6-8B91-1FE4283DFE6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0">
    <pivotField showAll="0"/>
    <pivotField numFmtId="14" showAll="0"/>
    <pivotField showAll="0"/>
    <pivotField axis="axisRow" showAll="0">
      <items count="7">
        <item x="0"/>
        <item x="3"/>
        <item x="2"/>
        <item x="1"/>
        <item m="1"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5"/>
    </i>
    <i t="grand">
      <x/>
    </i>
  </rowItems>
  <colItems count="1">
    <i/>
  </colItems>
  <dataFields count="1">
    <dataField name="Sum of Profit_Calculated_NGN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381D5-73BF-4DC1-A7E3-BD0A72E499E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2">
    <pivotField showAll="0"/>
    <pivotField numFmtId="14" showAll="0"/>
    <pivotField showAll="0"/>
    <pivotField showAll="0"/>
    <pivotField showAll="0"/>
    <pivotField axis="axisRow" showAll="0">
      <items count="5">
        <item x="2"/>
        <item m="1"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Sum of Profit_Calculated_NGN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3E5A7-5104-4913-9AB4-8D9FEAEC8614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3" firstDataCol="1"/>
  <pivotFields count="26">
    <pivotField showAll="0"/>
    <pivotField numFmtId="14" showAll="0">
      <items count="194">
        <item x="141"/>
        <item x="68"/>
        <item x="127"/>
        <item x="173"/>
        <item x="23"/>
        <item x="8"/>
        <item x="40"/>
        <item x="146"/>
        <item x="14"/>
        <item x="16"/>
        <item x="20"/>
        <item x="37"/>
        <item x="34"/>
        <item x="106"/>
        <item x="42"/>
        <item x="170"/>
        <item x="126"/>
        <item x="102"/>
        <item x="125"/>
        <item x="49"/>
        <item x="86"/>
        <item x="73"/>
        <item x="182"/>
        <item x="130"/>
        <item x="21"/>
        <item x="156"/>
        <item x="144"/>
        <item x="118"/>
        <item x="43"/>
        <item x="174"/>
        <item x="62"/>
        <item x="107"/>
        <item x="99"/>
        <item x="155"/>
        <item x="61"/>
        <item x="87"/>
        <item x="80"/>
        <item x="67"/>
        <item x="164"/>
        <item x="172"/>
        <item x="185"/>
        <item x="75"/>
        <item x="135"/>
        <item x="32"/>
        <item x="133"/>
        <item x="2"/>
        <item x="167"/>
        <item x="92"/>
        <item x="82"/>
        <item x="149"/>
        <item x="69"/>
        <item x="59"/>
        <item x="154"/>
        <item x="131"/>
        <item x="76"/>
        <item x="6"/>
        <item x="147"/>
        <item x="57"/>
        <item x="171"/>
        <item x="123"/>
        <item x="122"/>
        <item x="192"/>
        <item x="161"/>
        <item x="136"/>
        <item x="101"/>
        <item x="27"/>
        <item x="179"/>
        <item x="114"/>
        <item x="54"/>
        <item x="104"/>
        <item x="29"/>
        <item x="120"/>
        <item x="56"/>
        <item x="89"/>
        <item x="94"/>
        <item x="52"/>
        <item x="183"/>
        <item x="35"/>
        <item x="140"/>
        <item x="169"/>
        <item x="158"/>
        <item x="11"/>
        <item x="98"/>
        <item x="74"/>
        <item x="153"/>
        <item x="33"/>
        <item x="188"/>
        <item x="95"/>
        <item x="105"/>
        <item x="142"/>
        <item x="1"/>
        <item x="162"/>
        <item x="19"/>
        <item x="41"/>
        <item x="177"/>
        <item x="129"/>
        <item x="100"/>
        <item x="163"/>
        <item x="71"/>
        <item x="45"/>
        <item x="17"/>
        <item x="25"/>
        <item x="157"/>
        <item x="116"/>
        <item x="36"/>
        <item x="58"/>
        <item x="18"/>
        <item x="64"/>
        <item x="22"/>
        <item x="38"/>
        <item x="30"/>
        <item x="12"/>
        <item x="165"/>
        <item x="26"/>
        <item x="31"/>
        <item x="119"/>
        <item x="115"/>
        <item x="51"/>
        <item x="83"/>
        <item x="132"/>
        <item x="0"/>
        <item x="191"/>
        <item x="128"/>
        <item x="4"/>
        <item x="190"/>
        <item x="166"/>
        <item x="81"/>
        <item x="46"/>
        <item x="111"/>
        <item x="44"/>
        <item x="175"/>
        <item x="3"/>
        <item x="181"/>
        <item x="148"/>
        <item x="103"/>
        <item x="39"/>
        <item x="159"/>
        <item x="70"/>
        <item x="47"/>
        <item x="79"/>
        <item x="88"/>
        <item x="13"/>
        <item x="48"/>
        <item x="109"/>
        <item x="78"/>
        <item x="10"/>
        <item x="91"/>
        <item x="97"/>
        <item x="24"/>
        <item x="112"/>
        <item x="108"/>
        <item x="138"/>
        <item x="28"/>
        <item x="55"/>
        <item x="145"/>
        <item x="77"/>
        <item x="152"/>
        <item x="110"/>
        <item x="85"/>
        <item x="176"/>
        <item x="189"/>
        <item x="124"/>
        <item x="93"/>
        <item x="180"/>
        <item x="72"/>
        <item x="53"/>
        <item x="151"/>
        <item x="65"/>
        <item x="66"/>
        <item x="15"/>
        <item x="7"/>
        <item x="113"/>
        <item x="150"/>
        <item x="84"/>
        <item x="134"/>
        <item x="121"/>
        <item x="5"/>
        <item x="139"/>
        <item x="187"/>
        <item x="168"/>
        <item x="137"/>
        <item x="160"/>
        <item x="178"/>
        <item x="9"/>
        <item x="184"/>
        <item x="50"/>
        <item x="117"/>
        <item x="143"/>
        <item x="63"/>
        <item x="60"/>
        <item x="96"/>
        <item x="186"/>
        <item x="9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3"/>
        <item x="4"/>
        <item x="2"/>
        <item x="5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2">
    <field x="14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Average of Profit_Calculated_NGN" fld="19" subtotal="average" baseField="0" baseItem="0"/>
    <dataField name="Count of Return_Flag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1E40C-A6CA-43C2-94F2-C9D625EA3750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6">
    <pivotField showAll="0"/>
    <pivotField axis="axisRow" numFmtId="14" showAll="0">
      <items count="194">
        <item x="141"/>
        <item x="68"/>
        <item x="127"/>
        <item x="173"/>
        <item x="23"/>
        <item x="8"/>
        <item x="40"/>
        <item x="146"/>
        <item x="14"/>
        <item x="16"/>
        <item x="20"/>
        <item x="37"/>
        <item x="34"/>
        <item x="106"/>
        <item x="42"/>
        <item x="170"/>
        <item x="126"/>
        <item x="102"/>
        <item x="125"/>
        <item x="49"/>
        <item x="86"/>
        <item x="73"/>
        <item x="182"/>
        <item x="130"/>
        <item x="21"/>
        <item x="156"/>
        <item x="144"/>
        <item x="118"/>
        <item x="43"/>
        <item x="174"/>
        <item x="62"/>
        <item x="107"/>
        <item x="99"/>
        <item x="155"/>
        <item x="61"/>
        <item x="87"/>
        <item x="80"/>
        <item x="67"/>
        <item x="164"/>
        <item x="172"/>
        <item x="185"/>
        <item x="75"/>
        <item x="135"/>
        <item x="32"/>
        <item x="133"/>
        <item x="2"/>
        <item x="167"/>
        <item x="92"/>
        <item x="82"/>
        <item x="149"/>
        <item x="69"/>
        <item x="59"/>
        <item x="154"/>
        <item x="131"/>
        <item x="76"/>
        <item x="6"/>
        <item x="147"/>
        <item x="57"/>
        <item x="171"/>
        <item x="123"/>
        <item x="122"/>
        <item x="192"/>
        <item x="161"/>
        <item x="136"/>
        <item x="101"/>
        <item x="27"/>
        <item x="179"/>
        <item x="114"/>
        <item x="54"/>
        <item x="104"/>
        <item x="29"/>
        <item x="120"/>
        <item x="56"/>
        <item x="89"/>
        <item x="94"/>
        <item x="52"/>
        <item x="183"/>
        <item x="35"/>
        <item x="140"/>
        <item x="169"/>
        <item x="158"/>
        <item x="11"/>
        <item x="98"/>
        <item x="74"/>
        <item x="153"/>
        <item x="33"/>
        <item x="188"/>
        <item x="95"/>
        <item x="105"/>
        <item x="142"/>
        <item x="1"/>
        <item x="162"/>
        <item x="19"/>
        <item x="41"/>
        <item x="177"/>
        <item x="129"/>
        <item x="100"/>
        <item x="163"/>
        <item x="71"/>
        <item x="45"/>
        <item x="17"/>
        <item x="25"/>
        <item x="157"/>
        <item x="116"/>
        <item x="36"/>
        <item x="58"/>
        <item x="18"/>
        <item x="64"/>
        <item x="22"/>
        <item x="38"/>
        <item x="30"/>
        <item x="12"/>
        <item x="165"/>
        <item x="26"/>
        <item x="31"/>
        <item x="119"/>
        <item x="115"/>
        <item x="51"/>
        <item x="83"/>
        <item x="132"/>
        <item x="0"/>
        <item x="191"/>
        <item x="128"/>
        <item x="4"/>
        <item x="190"/>
        <item x="166"/>
        <item x="81"/>
        <item x="46"/>
        <item x="111"/>
        <item x="44"/>
        <item x="175"/>
        <item x="3"/>
        <item x="181"/>
        <item x="148"/>
        <item x="103"/>
        <item x="39"/>
        <item x="159"/>
        <item x="70"/>
        <item x="47"/>
        <item x="79"/>
        <item x="88"/>
        <item x="13"/>
        <item x="48"/>
        <item x="109"/>
        <item x="78"/>
        <item x="10"/>
        <item x="91"/>
        <item x="97"/>
        <item x="24"/>
        <item x="112"/>
        <item x="108"/>
        <item x="138"/>
        <item x="28"/>
        <item x="55"/>
        <item x="145"/>
        <item x="77"/>
        <item x="152"/>
        <item x="110"/>
        <item x="85"/>
        <item x="176"/>
        <item x="189"/>
        <item x="124"/>
        <item x="93"/>
        <item x="180"/>
        <item x="72"/>
        <item x="53"/>
        <item x="151"/>
        <item x="65"/>
        <item x="66"/>
        <item x="15"/>
        <item x="7"/>
        <item x="113"/>
        <item x="150"/>
        <item x="84"/>
        <item x="134"/>
        <item x="121"/>
        <item x="5"/>
        <item x="139"/>
        <item x="187"/>
        <item x="168"/>
        <item x="137"/>
        <item x="160"/>
        <item x="178"/>
        <item x="9"/>
        <item x="184"/>
        <item x="50"/>
        <item x="117"/>
        <item x="143"/>
        <item x="63"/>
        <item x="60"/>
        <item x="96"/>
        <item x="186"/>
        <item x="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5"/>
    <field x="24"/>
    <field x="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Revenue _Calculated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A7B582-27FB-440D-9AA9-265F34D0132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e198223-52ec-4b0f-8002-6d59b29aa721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2796E-6146-4F70-85E1-E6C4E93D7E64}">
  <dimension ref="A1:P433"/>
  <sheetViews>
    <sheetView workbookViewId="0">
      <selection activeCell="E15" sqref="E15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100001</v>
      </c>
      <c r="B2" s="1">
        <v>46167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>
        <v>58000</v>
      </c>
      <c r="L2">
        <v>0</v>
      </c>
      <c r="M2">
        <v>58000</v>
      </c>
      <c r="O2" t="s">
        <v>23</v>
      </c>
      <c r="P2" t="s">
        <v>24</v>
      </c>
    </row>
    <row r="3" spans="1:16" x14ac:dyDescent="0.35">
      <c r="A3">
        <v>100002</v>
      </c>
      <c r="B3" s="1">
        <v>46129</v>
      </c>
      <c r="C3" t="s">
        <v>25</v>
      </c>
      <c r="D3" t="s">
        <v>26</v>
      </c>
      <c r="E3" t="s">
        <v>18</v>
      </c>
      <c r="F3" t="s">
        <v>27</v>
      </c>
      <c r="G3" t="s">
        <v>28</v>
      </c>
      <c r="H3" t="s">
        <v>29</v>
      </c>
      <c r="I3" t="s">
        <v>30</v>
      </c>
      <c r="J3">
        <v>5</v>
      </c>
      <c r="K3">
        <v>165000</v>
      </c>
      <c r="L3">
        <v>0.05</v>
      </c>
      <c r="M3">
        <v>627000</v>
      </c>
      <c r="N3">
        <v>112000</v>
      </c>
      <c r="O3" t="s">
        <v>23</v>
      </c>
      <c r="P3" t="s">
        <v>31</v>
      </c>
    </row>
    <row r="4" spans="1:16" x14ac:dyDescent="0.35">
      <c r="A4">
        <v>100003</v>
      </c>
      <c r="B4" s="1">
        <v>46079</v>
      </c>
      <c r="C4" t="s">
        <v>32</v>
      </c>
      <c r="D4" t="s">
        <v>17</v>
      </c>
      <c r="E4" t="s">
        <v>18</v>
      </c>
      <c r="F4" t="s">
        <v>27</v>
      </c>
      <c r="G4" t="s">
        <v>33</v>
      </c>
      <c r="H4" t="s">
        <v>34</v>
      </c>
      <c r="I4" t="s">
        <v>30</v>
      </c>
      <c r="J4">
        <v>3</v>
      </c>
      <c r="K4">
        <v>32000</v>
      </c>
      <c r="L4">
        <v>0.2</v>
      </c>
      <c r="M4">
        <v>76800</v>
      </c>
      <c r="N4">
        <v>19000</v>
      </c>
      <c r="O4" t="s">
        <v>23</v>
      </c>
      <c r="P4" t="s">
        <v>24</v>
      </c>
    </row>
    <row r="5" spans="1:16" x14ac:dyDescent="0.35">
      <c r="A5">
        <v>100004</v>
      </c>
      <c r="B5" s="1">
        <v>46182</v>
      </c>
      <c r="C5" t="s">
        <v>35</v>
      </c>
      <c r="D5" t="s">
        <v>36</v>
      </c>
      <c r="E5" t="s">
        <v>37</v>
      </c>
      <c r="F5" t="s">
        <v>27</v>
      </c>
      <c r="G5" t="s">
        <v>38</v>
      </c>
      <c r="H5" t="s">
        <v>39</v>
      </c>
      <c r="I5" t="s">
        <v>30</v>
      </c>
      <c r="J5">
        <v>4</v>
      </c>
      <c r="K5">
        <v>26000</v>
      </c>
      <c r="L5">
        <v>0</v>
      </c>
      <c r="M5">
        <v>104000</v>
      </c>
      <c r="N5">
        <v>15000</v>
      </c>
      <c r="O5" t="s">
        <v>23</v>
      </c>
      <c r="P5" t="s">
        <v>40</v>
      </c>
    </row>
    <row r="6" spans="1:16" x14ac:dyDescent="0.35">
      <c r="A6">
        <v>100005</v>
      </c>
      <c r="B6" s="1">
        <v>46172</v>
      </c>
      <c r="C6" t="s">
        <v>25</v>
      </c>
      <c r="D6" t="s">
        <v>26</v>
      </c>
      <c r="E6" t="s">
        <v>37</v>
      </c>
      <c r="F6" t="s">
        <v>27</v>
      </c>
      <c r="G6" t="s">
        <v>28</v>
      </c>
      <c r="H6" t="s">
        <v>41</v>
      </c>
      <c r="I6" t="s">
        <v>30</v>
      </c>
      <c r="J6">
        <v>1</v>
      </c>
      <c r="K6">
        <v>165000</v>
      </c>
      <c r="L6">
        <v>0.05</v>
      </c>
      <c r="M6">
        <v>156750</v>
      </c>
      <c r="N6">
        <v>112000</v>
      </c>
      <c r="O6" t="s">
        <v>23</v>
      </c>
      <c r="P6" t="s">
        <v>24</v>
      </c>
    </row>
    <row r="7" spans="1:16" x14ac:dyDescent="0.35">
      <c r="A7">
        <v>100006</v>
      </c>
      <c r="B7" s="1">
        <v>46238</v>
      </c>
      <c r="C7" t="s">
        <v>42</v>
      </c>
      <c r="D7" t="s">
        <v>26</v>
      </c>
      <c r="E7" t="s">
        <v>43</v>
      </c>
      <c r="F7" t="s">
        <v>44</v>
      </c>
      <c r="G7" t="s">
        <v>45</v>
      </c>
      <c r="H7" t="s">
        <v>46</v>
      </c>
      <c r="I7" t="s">
        <v>30</v>
      </c>
      <c r="J7">
        <v>3</v>
      </c>
      <c r="K7">
        <v>6500</v>
      </c>
      <c r="L7">
        <v>0.1</v>
      </c>
      <c r="M7">
        <v>17550</v>
      </c>
      <c r="N7">
        <v>2200</v>
      </c>
      <c r="O7" t="s">
        <v>23</v>
      </c>
      <c r="P7" t="s">
        <v>47</v>
      </c>
    </row>
    <row r="8" spans="1:16" x14ac:dyDescent="0.35">
      <c r="A8">
        <v>100007</v>
      </c>
      <c r="B8" s="1">
        <v>46090</v>
      </c>
      <c r="C8" t="s">
        <v>25</v>
      </c>
      <c r="D8" t="s">
        <v>26</v>
      </c>
      <c r="E8" t="s">
        <v>43</v>
      </c>
      <c r="F8" t="s">
        <v>27</v>
      </c>
      <c r="G8" t="s">
        <v>38</v>
      </c>
      <c r="H8" t="s">
        <v>48</v>
      </c>
      <c r="I8" t="s">
        <v>22</v>
      </c>
      <c r="J8">
        <v>3</v>
      </c>
      <c r="K8">
        <v>26000</v>
      </c>
      <c r="L8">
        <v>0.1</v>
      </c>
      <c r="M8">
        <v>70200</v>
      </c>
      <c r="N8">
        <v>15000</v>
      </c>
      <c r="O8" t="s">
        <v>23</v>
      </c>
      <c r="P8" t="s">
        <v>24</v>
      </c>
    </row>
    <row r="9" spans="1:16" x14ac:dyDescent="0.35">
      <c r="A9">
        <v>100008</v>
      </c>
      <c r="B9" s="1">
        <v>46229</v>
      </c>
      <c r="C9" t="s">
        <v>35</v>
      </c>
      <c r="D9" t="s">
        <v>36</v>
      </c>
      <c r="E9" t="s">
        <v>37</v>
      </c>
      <c r="F9" t="s">
        <v>27</v>
      </c>
      <c r="G9" t="s">
        <v>28</v>
      </c>
      <c r="H9" t="s">
        <v>49</v>
      </c>
      <c r="I9" t="s">
        <v>30</v>
      </c>
      <c r="J9">
        <v>5</v>
      </c>
      <c r="K9">
        <v>165000</v>
      </c>
      <c r="L9">
        <v>0.05</v>
      </c>
      <c r="M9">
        <v>783750</v>
      </c>
      <c r="N9">
        <v>112000</v>
      </c>
      <c r="O9" t="s">
        <v>23</v>
      </c>
      <c r="P9" t="s">
        <v>31</v>
      </c>
    </row>
    <row r="10" spans="1:16" x14ac:dyDescent="0.35">
      <c r="A10">
        <v>100009</v>
      </c>
      <c r="B10" s="1">
        <v>46028</v>
      </c>
      <c r="C10" t="s">
        <v>50</v>
      </c>
      <c r="D10" t="s">
        <v>51</v>
      </c>
      <c r="E10" t="s">
        <v>43</v>
      </c>
      <c r="F10" t="s">
        <v>19</v>
      </c>
      <c r="G10" t="s">
        <v>52</v>
      </c>
      <c r="H10" t="s">
        <v>53</v>
      </c>
      <c r="I10" t="s">
        <v>30</v>
      </c>
      <c r="J10">
        <v>3</v>
      </c>
      <c r="K10">
        <v>42000</v>
      </c>
      <c r="L10">
        <v>0.15</v>
      </c>
      <c r="M10">
        <v>107100</v>
      </c>
      <c r="N10">
        <v>28000</v>
      </c>
      <c r="O10" t="s">
        <v>23</v>
      </c>
      <c r="P10" t="s">
        <v>54</v>
      </c>
    </row>
    <row r="11" spans="1:16" x14ac:dyDescent="0.35">
      <c r="A11">
        <v>100010</v>
      </c>
      <c r="B11" s="1">
        <v>46248</v>
      </c>
      <c r="C11" t="s">
        <v>55</v>
      </c>
      <c r="D11" t="s">
        <v>56</v>
      </c>
      <c r="E11" t="s">
        <v>43</v>
      </c>
      <c r="F11" t="s">
        <v>27</v>
      </c>
      <c r="G11" t="s">
        <v>28</v>
      </c>
      <c r="H11" t="s">
        <v>57</v>
      </c>
      <c r="I11" t="s">
        <v>30</v>
      </c>
      <c r="J11">
        <v>1</v>
      </c>
      <c r="K11">
        <v>165000</v>
      </c>
      <c r="L11">
        <v>0</v>
      </c>
      <c r="M11">
        <v>165000</v>
      </c>
      <c r="N11">
        <v>112000</v>
      </c>
      <c r="O11" t="s">
        <v>23</v>
      </c>
      <c r="P11" t="s">
        <v>58</v>
      </c>
    </row>
    <row r="12" spans="1:16" x14ac:dyDescent="0.35">
      <c r="A12">
        <v>100011</v>
      </c>
      <c r="B12" s="1">
        <v>46200</v>
      </c>
      <c r="C12" t="s">
        <v>25</v>
      </c>
      <c r="D12" t="s">
        <v>26</v>
      </c>
      <c r="E12" t="s">
        <v>43</v>
      </c>
      <c r="F12" t="s">
        <v>27</v>
      </c>
      <c r="G12" t="s">
        <v>33</v>
      </c>
      <c r="H12" t="s">
        <v>59</v>
      </c>
      <c r="I12" t="s">
        <v>30</v>
      </c>
      <c r="J12">
        <v>1</v>
      </c>
      <c r="K12">
        <v>32000</v>
      </c>
      <c r="L12">
        <v>0</v>
      </c>
      <c r="M12">
        <v>32000</v>
      </c>
      <c r="N12">
        <v>19000</v>
      </c>
      <c r="O12" t="s">
        <v>23</v>
      </c>
      <c r="P12" t="s">
        <v>58</v>
      </c>
    </row>
    <row r="13" spans="1:16" x14ac:dyDescent="0.35">
      <c r="A13">
        <v>100012</v>
      </c>
      <c r="B13" s="1">
        <v>46120</v>
      </c>
      <c r="C13" t="s">
        <v>35</v>
      </c>
      <c r="D13" t="s">
        <v>36</v>
      </c>
      <c r="E13" t="s">
        <v>37</v>
      </c>
      <c r="F13" t="s">
        <v>44</v>
      </c>
      <c r="G13" t="s">
        <v>60</v>
      </c>
      <c r="H13" t="s">
        <v>61</v>
      </c>
      <c r="I13" t="s">
        <v>22</v>
      </c>
      <c r="J13">
        <v>1</v>
      </c>
      <c r="K13">
        <v>9000</v>
      </c>
      <c r="L13">
        <v>0</v>
      </c>
      <c r="M13">
        <v>9000</v>
      </c>
      <c r="N13">
        <v>3500</v>
      </c>
      <c r="O13" t="s">
        <v>23</v>
      </c>
      <c r="P13" t="s">
        <v>58</v>
      </c>
    </row>
    <row r="14" spans="1:16" x14ac:dyDescent="0.35">
      <c r="A14">
        <v>100013</v>
      </c>
      <c r="B14" s="1">
        <v>46153</v>
      </c>
      <c r="C14" t="s">
        <v>50</v>
      </c>
      <c r="D14" t="s">
        <v>51</v>
      </c>
      <c r="E14" t="s">
        <v>43</v>
      </c>
      <c r="F14" t="s">
        <v>19</v>
      </c>
      <c r="G14" t="s">
        <v>62</v>
      </c>
      <c r="H14" t="s">
        <v>63</v>
      </c>
      <c r="I14" t="s">
        <v>22</v>
      </c>
      <c r="J14">
        <v>2</v>
      </c>
      <c r="K14">
        <v>24000</v>
      </c>
      <c r="L14">
        <v>0</v>
      </c>
      <c r="M14">
        <v>48000</v>
      </c>
      <c r="N14">
        <v>15000</v>
      </c>
      <c r="O14" t="s">
        <v>23</v>
      </c>
      <c r="P14" t="s">
        <v>64</v>
      </c>
    </row>
    <row r="15" spans="1:16" x14ac:dyDescent="0.35">
      <c r="A15">
        <v>100014</v>
      </c>
      <c r="B15" s="1">
        <v>46195</v>
      </c>
      <c r="C15" t="s">
        <v>16</v>
      </c>
      <c r="D15" t="s">
        <v>17</v>
      </c>
      <c r="E15" t="s">
        <v>18</v>
      </c>
      <c r="F15" t="s">
        <v>44</v>
      </c>
      <c r="G15" t="s">
        <v>65</v>
      </c>
      <c r="H15" t="s">
        <v>66</v>
      </c>
      <c r="I15" t="s">
        <v>30</v>
      </c>
      <c r="J15">
        <v>2</v>
      </c>
      <c r="K15">
        <v>28000</v>
      </c>
      <c r="L15">
        <v>0.25</v>
      </c>
      <c r="M15">
        <v>42000</v>
      </c>
      <c r="O15" t="s">
        <v>23</v>
      </c>
      <c r="P15" t="s">
        <v>54</v>
      </c>
    </row>
    <row r="16" spans="1:16" x14ac:dyDescent="0.35">
      <c r="A16">
        <v>100015</v>
      </c>
      <c r="B16" s="1">
        <v>46031</v>
      </c>
      <c r="C16" t="s">
        <v>55</v>
      </c>
      <c r="D16" t="s">
        <v>56</v>
      </c>
      <c r="E16" t="s">
        <v>43</v>
      </c>
      <c r="F16" t="s">
        <v>27</v>
      </c>
      <c r="G16" t="s">
        <v>28</v>
      </c>
      <c r="H16" t="s">
        <v>67</v>
      </c>
      <c r="I16" t="s">
        <v>22</v>
      </c>
      <c r="J16">
        <v>2</v>
      </c>
      <c r="K16">
        <v>165000</v>
      </c>
      <c r="L16">
        <v>0</v>
      </c>
      <c r="M16">
        <v>330000</v>
      </c>
      <c r="N16">
        <v>112000</v>
      </c>
      <c r="O16" t="s">
        <v>23</v>
      </c>
      <c r="P16" t="s">
        <v>40</v>
      </c>
    </row>
    <row r="17" spans="1:16" x14ac:dyDescent="0.35">
      <c r="A17">
        <v>100016</v>
      </c>
      <c r="B17" s="1">
        <v>46228</v>
      </c>
      <c r="C17" t="s">
        <v>42</v>
      </c>
      <c r="D17" t="s">
        <v>26</v>
      </c>
      <c r="E17" t="s">
        <v>37</v>
      </c>
      <c r="F17" t="s">
        <v>44</v>
      </c>
      <c r="G17" t="s">
        <v>45</v>
      </c>
      <c r="H17" t="s">
        <v>68</v>
      </c>
      <c r="I17" t="s">
        <v>22</v>
      </c>
      <c r="J17">
        <v>1</v>
      </c>
      <c r="K17">
        <v>6500</v>
      </c>
      <c r="L17">
        <v>0.1</v>
      </c>
      <c r="M17">
        <v>4680</v>
      </c>
      <c r="N17">
        <v>2200</v>
      </c>
      <c r="O17" t="s">
        <v>23</v>
      </c>
      <c r="P17" t="s">
        <v>31</v>
      </c>
    </row>
    <row r="18" spans="1:16" x14ac:dyDescent="0.35">
      <c r="A18">
        <v>100017</v>
      </c>
      <c r="B18" s="1">
        <v>46032</v>
      </c>
      <c r="C18" t="s">
        <v>35</v>
      </c>
      <c r="D18" t="s">
        <v>36</v>
      </c>
      <c r="E18" t="s">
        <v>18</v>
      </c>
      <c r="F18" t="s">
        <v>19</v>
      </c>
      <c r="G18" t="s">
        <v>52</v>
      </c>
      <c r="H18" t="s">
        <v>69</v>
      </c>
      <c r="I18" t="s">
        <v>22</v>
      </c>
      <c r="J18">
        <v>2</v>
      </c>
      <c r="K18">
        <v>42000</v>
      </c>
      <c r="L18">
        <v>0</v>
      </c>
      <c r="M18">
        <v>84000</v>
      </c>
      <c r="N18">
        <v>28000</v>
      </c>
      <c r="O18" t="s">
        <v>23</v>
      </c>
      <c r="P18" t="s">
        <v>64</v>
      </c>
    </row>
    <row r="19" spans="1:16" x14ac:dyDescent="0.35">
      <c r="A19">
        <v>100018</v>
      </c>
      <c r="B19" s="1">
        <v>46141</v>
      </c>
      <c r="C19" t="s">
        <v>55</v>
      </c>
      <c r="D19" t="s">
        <v>56</v>
      </c>
      <c r="E19" t="s">
        <v>43</v>
      </c>
      <c r="F19" t="s">
        <v>44</v>
      </c>
      <c r="G19" t="s">
        <v>45</v>
      </c>
      <c r="H19" t="s">
        <v>70</v>
      </c>
      <c r="I19" t="s">
        <v>30</v>
      </c>
      <c r="J19">
        <v>22</v>
      </c>
      <c r="K19">
        <v>6500</v>
      </c>
      <c r="L19">
        <v>0.15</v>
      </c>
      <c r="M19">
        <v>121550</v>
      </c>
      <c r="N19">
        <v>2200</v>
      </c>
      <c r="O19" t="s">
        <v>23</v>
      </c>
      <c r="P19" t="s">
        <v>31</v>
      </c>
    </row>
    <row r="20" spans="1:16" x14ac:dyDescent="0.35">
      <c r="A20">
        <v>100019</v>
      </c>
      <c r="B20" s="1">
        <v>46148</v>
      </c>
      <c r="C20" t="s">
        <v>25</v>
      </c>
      <c r="D20" t="s">
        <v>26</v>
      </c>
      <c r="E20" t="s">
        <v>43</v>
      </c>
      <c r="F20" t="s">
        <v>27</v>
      </c>
      <c r="G20" t="s">
        <v>38</v>
      </c>
      <c r="H20" t="s">
        <v>71</v>
      </c>
      <c r="I20" t="s">
        <v>30</v>
      </c>
      <c r="J20">
        <v>1</v>
      </c>
      <c r="K20">
        <v>26000</v>
      </c>
      <c r="L20">
        <v>0.15</v>
      </c>
      <c r="M20">
        <v>22100</v>
      </c>
      <c r="N20">
        <v>15000</v>
      </c>
      <c r="O20" t="s">
        <v>23</v>
      </c>
      <c r="P20" t="s">
        <v>47</v>
      </c>
    </row>
    <row r="21" spans="1:16" x14ac:dyDescent="0.35">
      <c r="A21">
        <v>100020</v>
      </c>
      <c r="B21" s="1">
        <v>46131</v>
      </c>
      <c r="C21" t="s">
        <v>16</v>
      </c>
      <c r="D21" t="s">
        <v>17</v>
      </c>
      <c r="E21" t="s">
        <v>43</v>
      </c>
      <c r="F21" t="s">
        <v>27</v>
      </c>
      <c r="G21" t="s">
        <v>38</v>
      </c>
      <c r="H21" t="s">
        <v>72</v>
      </c>
      <c r="I21" t="s">
        <v>30</v>
      </c>
      <c r="J21">
        <v>1</v>
      </c>
      <c r="K21">
        <v>26000</v>
      </c>
      <c r="L21">
        <v>0.25</v>
      </c>
      <c r="M21">
        <v>19500</v>
      </c>
      <c r="O21" t="s">
        <v>23</v>
      </c>
      <c r="P21" t="s">
        <v>64</v>
      </c>
    </row>
    <row r="22" spans="1:16" x14ac:dyDescent="0.35">
      <c r="A22">
        <v>100021</v>
      </c>
      <c r="B22" s="1">
        <v>46148</v>
      </c>
      <c r="C22" t="s">
        <v>16</v>
      </c>
      <c r="D22" t="s">
        <v>17</v>
      </c>
      <c r="E22" t="s">
        <v>18</v>
      </c>
      <c r="F22" t="s">
        <v>27</v>
      </c>
      <c r="G22" t="s">
        <v>38</v>
      </c>
      <c r="H22" t="s">
        <v>73</v>
      </c>
      <c r="I22" t="s">
        <v>22</v>
      </c>
      <c r="J22">
        <v>1</v>
      </c>
      <c r="K22">
        <v>26000</v>
      </c>
      <c r="L22">
        <v>0</v>
      </c>
      <c r="M22">
        <v>26000</v>
      </c>
      <c r="N22">
        <v>15000</v>
      </c>
      <c r="O22" t="s">
        <v>23</v>
      </c>
      <c r="P22" t="s">
        <v>31</v>
      </c>
    </row>
    <row r="23" spans="1:16" x14ac:dyDescent="0.35">
      <c r="A23">
        <v>100022</v>
      </c>
      <c r="B23" s="1">
        <v>46033</v>
      </c>
      <c r="C23" t="s">
        <v>50</v>
      </c>
      <c r="D23" t="s">
        <v>51</v>
      </c>
      <c r="E23" t="s">
        <v>18</v>
      </c>
      <c r="F23" t="s">
        <v>44</v>
      </c>
      <c r="G23" t="s">
        <v>65</v>
      </c>
      <c r="H23" t="s">
        <v>66</v>
      </c>
      <c r="I23" t="s">
        <v>22</v>
      </c>
      <c r="J23">
        <v>1</v>
      </c>
      <c r="K23">
        <v>28000</v>
      </c>
      <c r="L23">
        <v>0.05</v>
      </c>
      <c r="M23">
        <v>26600</v>
      </c>
      <c r="N23">
        <v>16000</v>
      </c>
      <c r="O23" t="s">
        <v>23</v>
      </c>
      <c r="P23" t="s">
        <v>47</v>
      </c>
    </row>
    <row r="24" spans="1:16" x14ac:dyDescent="0.35">
      <c r="A24">
        <v>100023</v>
      </c>
      <c r="B24" s="1">
        <v>46052</v>
      </c>
      <c r="C24" t="s">
        <v>32</v>
      </c>
      <c r="D24" t="s">
        <v>17</v>
      </c>
      <c r="E24" t="s">
        <v>37</v>
      </c>
      <c r="F24" t="s">
        <v>27</v>
      </c>
      <c r="G24" t="s">
        <v>33</v>
      </c>
      <c r="H24" t="s">
        <v>74</v>
      </c>
      <c r="I24" t="s">
        <v>30</v>
      </c>
      <c r="J24">
        <v>1</v>
      </c>
      <c r="K24">
        <v>32000</v>
      </c>
      <c r="L24">
        <v>0.15</v>
      </c>
      <c r="M24">
        <v>27200</v>
      </c>
      <c r="N24">
        <v>19000</v>
      </c>
      <c r="O24" t="s">
        <v>23</v>
      </c>
      <c r="P24" t="s">
        <v>58</v>
      </c>
    </row>
    <row r="25" spans="1:16" x14ac:dyDescent="0.35">
      <c r="A25">
        <v>100024</v>
      </c>
      <c r="B25" s="1">
        <v>46150</v>
      </c>
      <c r="C25" t="s">
        <v>32</v>
      </c>
      <c r="D25" t="s">
        <v>17</v>
      </c>
      <c r="E25" t="s">
        <v>43</v>
      </c>
      <c r="F25" t="s">
        <v>19</v>
      </c>
      <c r="G25" t="s">
        <v>20</v>
      </c>
      <c r="H25" t="s">
        <v>75</v>
      </c>
      <c r="I25" t="s">
        <v>22</v>
      </c>
      <c r="J25">
        <v>2</v>
      </c>
      <c r="K25">
        <v>58000</v>
      </c>
      <c r="L25">
        <v>0.2</v>
      </c>
      <c r="M25">
        <v>92800</v>
      </c>
      <c r="O25" t="s">
        <v>76</v>
      </c>
      <c r="P25" t="s">
        <v>40</v>
      </c>
    </row>
    <row r="26" spans="1:16" x14ac:dyDescent="0.35">
      <c r="A26">
        <v>100025</v>
      </c>
      <c r="B26" s="1">
        <v>46027</v>
      </c>
      <c r="C26" t="s">
        <v>35</v>
      </c>
      <c r="D26" t="s">
        <v>36</v>
      </c>
      <c r="E26" t="s">
        <v>43</v>
      </c>
      <c r="F26" t="s">
        <v>19</v>
      </c>
      <c r="G26" t="s">
        <v>20</v>
      </c>
      <c r="H26" t="s">
        <v>77</v>
      </c>
      <c r="I26" t="s">
        <v>30</v>
      </c>
      <c r="J26">
        <v>5</v>
      </c>
      <c r="K26">
        <v>58000</v>
      </c>
      <c r="L26">
        <v>0.05</v>
      </c>
      <c r="M26">
        <v>275500</v>
      </c>
      <c r="N26">
        <v>39000</v>
      </c>
      <c r="O26" t="s">
        <v>23</v>
      </c>
      <c r="P26" t="s">
        <v>58</v>
      </c>
    </row>
    <row r="27" spans="1:16" x14ac:dyDescent="0.35">
      <c r="A27">
        <v>100026</v>
      </c>
      <c r="B27" s="1">
        <v>46203</v>
      </c>
      <c r="C27" t="s">
        <v>50</v>
      </c>
      <c r="D27" t="s">
        <v>51</v>
      </c>
      <c r="E27" t="s">
        <v>43</v>
      </c>
      <c r="F27" t="s">
        <v>44</v>
      </c>
      <c r="G27" t="s">
        <v>60</v>
      </c>
      <c r="H27" t="s">
        <v>78</v>
      </c>
      <c r="I27" t="s">
        <v>30</v>
      </c>
      <c r="J27">
        <v>2</v>
      </c>
      <c r="K27">
        <v>9000</v>
      </c>
      <c r="L27">
        <v>0.1</v>
      </c>
      <c r="M27">
        <v>16200</v>
      </c>
      <c r="O27" t="s">
        <v>23</v>
      </c>
      <c r="P27" t="s">
        <v>24</v>
      </c>
    </row>
    <row r="28" spans="1:16" x14ac:dyDescent="0.35">
      <c r="A28">
        <v>100027</v>
      </c>
      <c r="B28" s="1">
        <v>46142</v>
      </c>
      <c r="C28" t="s">
        <v>35</v>
      </c>
      <c r="D28" t="s">
        <v>36</v>
      </c>
      <c r="E28" t="s">
        <v>18</v>
      </c>
      <c r="F28" t="s">
        <v>19</v>
      </c>
      <c r="G28" t="s">
        <v>20</v>
      </c>
      <c r="H28" t="s">
        <v>79</v>
      </c>
      <c r="I28" t="s">
        <v>22</v>
      </c>
      <c r="J28">
        <v>4</v>
      </c>
      <c r="K28">
        <v>58000</v>
      </c>
      <c r="L28">
        <v>0.05</v>
      </c>
      <c r="M28">
        <v>220400</v>
      </c>
      <c r="N28">
        <v>39000</v>
      </c>
      <c r="O28" t="s">
        <v>23</v>
      </c>
      <c r="P28" t="s">
        <v>58</v>
      </c>
    </row>
    <row r="29" spans="1:16" x14ac:dyDescent="0.35">
      <c r="A29">
        <v>100028</v>
      </c>
      <c r="B29" s="1">
        <v>46156</v>
      </c>
      <c r="C29" t="s">
        <v>32</v>
      </c>
      <c r="D29" t="s">
        <v>17</v>
      </c>
      <c r="E29" t="s">
        <v>37</v>
      </c>
      <c r="F29" t="s">
        <v>27</v>
      </c>
      <c r="G29" t="s">
        <v>38</v>
      </c>
      <c r="H29" t="s">
        <v>80</v>
      </c>
      <c r="I29" t="s">
        <v>30</v>
      </c>
      <c r="J29">
        <v>22</v>
      </c>
      <c r="K29">
        <v>26000</v>
      </c>
      <c r="L29">
        <v>0.25</v>
      </c>
      <c r="M29">
        <v>429000</v>
      </c>
      <c r="N29">
        <v>15000</v>
      </c>
      <c r="O29" t="s">
        <v>23</v>
      </c>
      <c r="P29" t="s">
        <v>47</v>
      </c>
    </row>
    <row r="30" spans="1:16" x14ac:dyDescent="0.35">
      <c r="A30">
        <v>100029</v>
      </c>
      <c r="B30" s="1">
        <v>46103</v>
      </c>
      <c r="C30" t="s">
        <v>32</v>
      </c>
      <c r="D30" t="s">
        <v>17</v>
      </c>
      <c r="E30" t="s">
        <v>43</v>
      </c>
      <c r="F30" t="s">
        <v>19</v>
      </c>
      <c r="G30" t="s">
        <v>20</v>
      </c>
      <c r="H30" t="s">
        <v>81</v>
      </c>
      <c r="I30" t="s">
        <v>30</v>
      </c>
      <c r="J30">
        <v>5</v>
      </c>
      <c r="K30">
        <v>58000</v>
      </c>
      <c r="L30">
        <v>0.1</v>
      </c>
      <c r="M30">
        <v>261000</v>
      </c>
      <c r="O30" t="s">
        <v>23</v>
      </c>
      <c r="P30" t="s">
        <v>24</v>
      </c>
    </row>
    <row r="31" spans="1:16" x14ac:dyDescent="0.35">
      <c r="A31">
        <v>100030</v>
      </c>
      <c r="B31" s="1">
        <v>46209</v>
      </c>
      <c r="C31" t="s">
        <v>35</v>
      </c>
      <c r="D31" t="s">
        <v>36</v>
      </c>
      <c r="E31" t="s">
        <v>37</v>
      </c>
      <c r="F31" t="s">
        <v>27</v>
      </c>
      <c r="G31" t="s">
        <v>38</v>
      </c>
      <c r="H31" t="s">
        <v>82</v>
      </c>
      <c r="I31" t="s">
        <v>22</v>
      </c>
      <c r="J31">
        <v>1</v>
      </c>
      <c r="K31">
        <v>26000</v>
      </c>
      <c r="L31">
        <v>0.05</v>
      </c>
      <c r="M31">
        <v>24700</v>
      </c>
      <c r="N31">
        <v>15000</v>
      </c>
      <c r="O31" t="s">
        <v>23</v>
      </c>
      <c r="P31" t="s">
        <v>58</v>
      </c>
    </row>
    <row r="32" spans="1:16" x14ac:dyDescent="0.35">
      <c r="A32">
        <v>100031</v>
      </c>
      <c r="B32" s="1">
        <v>46182</v>
      </c>
      <c r="C32" t="s">
        <v>32</v>
      </c>
      <c r="D32" t="s">
        <v>17</v>
      </c>
      <c r="E32" t="s">
        <v>43</v>
      </c>
      <c r="F32" t="s">
        <v>19</v>
      </c>
      <c r="G32" t="s">
        <v>20</v>
      </c>
      <c r="H32" t="s">
        <v>83</v>
      </c>
      <c r="I32" t="s">
        <v>22</v>
      </c>
      <c r="J32">
        <v>2</v>
      </c>
      <c r="K32">
        <v>58000</v>
      </c>
      <c r="L32">
        <v>0.15</v>
      </c>
      <c r="M32">
        <v>98600</v>
      </c>
      <c r="N32">
        <v>39000</v>
      </c>
      <c r="O32" t="s">
        <v>23</v>
      </c>
      <c r="P32" t="s">
        <v>84</v>
      </c>
    </row>
    <row r="33" spans="1:16" x14ac:dyDescent="0.35">
      <c r="A33">
        <v>100032</v>
      </c>
      <c r="B33" s="1">
        <v>46109</v>
      </c>
      <c r="C33" t="s">
        <v>55</v>
      </c>
      <c r="D33" t="s">
        <v>56</v>
      </c>
      <c r="E33" t="s">
        <v>37</v>
      </c>
      <c r="F33" t="s">
        <v>19</v>
      </c>
      <c r="G33" t="s">
        <v>62</v>
      </c>
      <c r="H33" t="s">
        <v>49</v>
      </c>
      <c r="I33" t="s">
        <v>22</v>
      </c>
      <c r="J33">
        <v>1</v>
      </c>
      <c r="K33">
        <v>24000</v>
      </c>
      <c r="L33">
        <v>0.05</v>
      </c>
      <c r="M33">
        <v>22800</v>
      </c>
      <c r="N33">
        <v>15000</v>
      </c>
      <c r="O33" t="s">
        <v>23</v>
      </c>
      <c r="P33" t="s">
        <v>31</v>
      </c>
    </row>
    <row r="34" spans="1:16" x14ac:dyDescent="0.35">
      <c r="A34">
        <v>100033</v>
      </c>
      <c r="B34" s="1">
        <v>46152</v>
      </c>
      <c r="C34" t="s">
        <v>25</v>
      </c>
      <c r="D34" t="s">
        <v>26</v>
      </c>
      <c r="E34" t="s">
        <v>43</v>
      </c>
      <c r="F34" t="s">
        <v>19</v>
      </c>
      <c r="G34" t="s">
        <v>20</v>
      </c>
      <c r="H34" t="s">
        <v>85</v>
      </c>
      <c r="I34" t="s">
        <v>22</v>
      </c>
      <c r="J34">
        <v>3</v>
      </c>
      <c r="K34">
        <v>58000</v>
      </c>
      <c r="L34">
        <v>0</v>
      </c>
      <c r="M34">
        <v>174000</v>
      </c>
      <c r="N34">
        <v>39000</v>
      </c>
      <c r="O34" t="s">
        <v>23</v>
      </c>
      <c r="P34" t="s">
        <v>84</v>
      </c>
    </row>
    <row r="35" spans="1:16" x14ac:dyDescent="0.35">
      <c r="A35">
        <v>100034</v>
      </c>
      <c r="B35" s="1">
        <v>46157</v>
      </c>
      <c r="C35" t="s">
        <v>55</v>
      </c>
      <c r="D35" t="s">
        <v>56</v>
      </c>
      <c r="E35" t="s">
        <v>43</v>
      </c>
      <c r="F35" t="s">
        <v>19</v>
      </c>
      <c r="G35" t="s">
        <v>20</v>
      </c>
      <c r="H35" t="s">
        <v>86</v>
      </c>
      <c r="I35" t="s">
        <v>30</v>
      </c>
      <c r="J35">
        <v>1</v>
      </c>
      <c r="K35">
        <v>58000</v>
      </c>
      <c r="L35">
        <v>0.15</v>
      </c>
      <c r="M35">
        <v>49300</v>
      </c>
      <c r="N35">
        <v>39000</v>
      </c>
      <c r="O35" t="s">
        <v>23</v>
      </c>
      <c r="P35" t="s">
        <v>47</v>
      </c>
    </row>
    <row r="36" spans="1:16" x14ac:dyDescent="0.35">
      <c r="A36">
        <v>100035</v>
      </c>
      <c r="B36" s="1">
        <v>46076</v>
      </c>
      <c r="C36" t="s">
        <v>35</v>
      </c>
      <c r="D36" t="s">
        <v>36</v>
      </c>
      <c r="E36" t="s">
        <v>43</v>
      </c>
      <c r="F36" t="s">
        <v>44</v>
      </c>
      <c r="G36" t="s">
        <v>65</v>
      </c>
      <c r="H36" t="s">
        <v>87</v>
      </c>
      <c r="I36" t="s">
        <v>30</v>
      </c>
      <c r="J36">
        <v>25</v>
      </c>
      <c r="K36">
        <v>28000</v>
      </c>
      <c r="L36">
        <v>0.05</v>
      </c>
      <c r="M36">
        <v>665000</v>
      </c>
      <c r="N36">
        <v>16000</v>
      </c>
      <c r="O36" t="s">
        <v>23</v>
      </c>
      <c r="P36" t="s">
        <v>64</v>
      </c>
    </row>
    <row r="37" spans="1:16" x14ac:dyDescent="0.35">
      <c r="A37">
        <v>100036</v>
      </c>
      <c r="B37" s="1">
        <v>46076</v>
      </c>
      <c r="C37" t="s">
        <v>35</v>
      </c>
      <c r="D37" t="s">
        <v>36</v>
      </c>
      <c r="E37" t="s">
        <v>43</v>
      </c>
      <c r="F37" t="s">
        <v>27</v>
      </c>
      <c r="G37" t="s">
        <v>33</v>
      </c>
      <c r="H37" t="s">
        <v>88</v>
      </c>
      <c r="I37" t="s">
        <v>22</v>
      </c>
      <c r="J37">
        <v>2</v>
      </c>
      <c r="K37">
        <v>32000</v>
      </c>
      <c r="L37">
        <v>0.05</v>
      </c>
      <c r="M37">
        <v>60800</v>
      </c>
      <c r="N37">
        <v>19000</v>
      </c>
      <c r="O37" t="s">
        <v>76</v>
      </c>
      <c r="P37" t="s">
        <v>47</v>
      </c>
    </row>
    <row r="38" spans="1:16" x14ac:dyDescent="0.35">
      <c r="A38">
        <v>100037</v>
      </c>
      <c r="B38" s="1">
        <v>46124</v>
      </c>
      <c r="C38" t="s">
        <v>32</v>
      </c>
      <c r="D38" t="s">
        <v>17</v>
      </c>
      <c r="E38" t="s">
        <v>43</v>
      </c>
      <c r="F38" t="s">
        <v>44</v>
      </c>
      <c r="G38" t="s">
        <v>65</v>
      </c>
      <c r="H38" t="s">
        <v>89</v>
      </c>
      <c r="I38" t="s">
        <v>22</v>
      </c>
      <c r="J38">
        <v>2</v>
      </c>
      <c r="K38">
        <v>28000</v>
      </c>
      <c r="L38">
        <v>0</v>
      </c>
      <c r="M38">
        <v>56000</v>
      </c>
      <c r="N38">
        <v>16000</v>
      </c>
      <c r="O38" t="s">
        <v>23</v>
      </c>
      <c r="P38" t="s">
        <v>40</v>
      </c>
    </row>
    <row r="39" spans="1:16" x14ac:dyDescent="0.35">
      <c r="A39">
        <v>100038</v>
      </c>
      <c r="B39" s="1">
        <v>46037</v>
      </c>
      <c r="C39" t="s">
        <v>35</v>
      </c>
      <c r="D39" t="s">
        <v>36</v>
      </c>
      <c r="E39" t="s">
        <v>37</v>
      </c>
      <c r="F39" t="s">
        <v>27</v>
      </c>
      <c r="G39" t="s">
        <v>33</v>
      </c>
      <c r="H39" t="s">
        <v>90</v>
      </c>
      <c r="I39" t="s">
        <v>30</v>
      </c>
      <c r="J39">
        <v>2</v>
      </c>
      <c r="K39">
        <v>32000</v>
      </c>
      <c r="L39">
        <v>0</v>
      </c>
      <c r="M39">
        <v>64000</v>
      </c>
      <c r="N39">
        <v>19000</v>
      </c>
      <c r="O39" t="s">
        <v>23</v>
      </c>
      <c r="P39" t="s">
        <v>84</v>
      </c>
    </row>
    <row r="40" spans="1:16" x14ac:dyDescent="0.35">
      <c r="A40">
        <v>100039</v>
      </c>
      <c r="B40" s="1">
        <v>46116</v>
      </c>
      <c r="C40" t="s">
        <v>16</v>
      </c>
      <c r="D40" t="s">
        <v>17</v>
      </c>
      <c r="E40" t="s">
        <v>37</v>
      </c>
      <c r="F40" t="s">
        <v>44</v>
      </c>
      <c r="G40" t="s">
        <v>45</v>
      </c>
      <c r="H40" t="s">
        <v>91</v>
      </c>
      <c r="I40" t="s">
        <v>22</v>
      </c>
      <c r="J40">
        <v>3</v>
      </c>
      <c r="K40">
        <v>6500</v>
      </c>
      <c r="L40">
        <v>0.1</v>
      </c>
      <c r="M40">
        <v>17550</v>
      </c>
      <c r="N40">
        <v>2200</v>
      </c>
      <c r="O40" t="s">
        <v>23</v>
      </c>
      <c r="P40" t="s">
        <v>40</v>
      </c>
    </row>
    <row r="41" spans="1:16" x14ac:dyDescent="0.35">
      <c r="A41">
        <v>100040</v>
      </c>
      <c r="B41" s="1">
        <v>46145</v>
      </c>
      <c r="C41" t="s">
        <v>32</v>
      </c>
      <c r="D41" t="s">
        <v>17</v>
      </c>
      <c r="E41" t="s">
        <v>18</v>
      </c>
      <c r="F41" t="s">
        <v>19</v>
      </c>
      <c r="G41" t="s">
        <v>20</v>
      </c>
      <c r="H41" t="s">
        <v>92</v>
      </c>
      <c r="I41" t="s">
        <v>30</v>
      </c>
      <c r="J41">
        <v>1</v>
      </c>
      <c r="K41">
        <v>58000</v>
      </c>
      <c r="L41">
        <v>0.05</v>
      </c>
      <c r="M41">
        <v>55100</v>
      </c>
      <c r="N41">
        <v>39000</v>
      </c>
      <c r="O41" t="s">
        <v>23</v>
      </c>
      <c r="P41" t="s">
        <v>31</v>
      </c>
    </row>
    <row r="42" spans="1:16" x14ac:dyDescent="0.35">
      <c r="A42">
        <v>100041</v>
      </c>
      <c r="B42" s="1">
        <v>46035</v>
      </c>
      <c r="C42" t="s">
        <v>55</v>
      </c>
      <c r="D42" t="s">
        <v>56</v>
      </c>
      <c r="E42" t="s">
        <v>18</v>
      </c>
      <c r="F42" t="s">
        <v>27</v>
      </c>
      <c r="G42" t="s">
        <v>33</v>
      </c>
      <c r="H42" t="s">
        <v>93</v>
      </c>
      <c r="I42" t="s">
        <v>30</v>
      </c>
      <c r="J42">
        <v>3</v>
      </c>
      <c r="K42">
        <v>32000</v>
      </c>
      <c r="L42">
        <v>0.1</v>
      </c>
      <c r="M42">
        <v>86400</v>
      </c>
      <c r="N42">
        <v>19000</v>
      </c>
      <c r="O42" t="s">
        <v>23</v>
      </c>
      <c r="P42" t="s">
        <v>47</v>
      </c>
    </row>
    <row r="43" spans="1:16" x14ac:dyDescent="0.35">
      <c r="A43">
        <v>100042</v>
      </c>
      <c r="B43" s="1">
        <v>46151</v>
      </c>
      <c r="C43" t="s">
        <v>50</v>
      </c>
      <c r="D43" t="s">
        <v>51</v>
      </c>
      <c r="E43" t="s">
        <v>18</v>
      </c>
      <c r="F43" t="s">
        <v>27</v>
      </c>
      <c r="G43" t="s">
        <v>28</v>
      </c>
      <c r="H43" t="s">
        <v>94</v>
      </c>
      <c r="I43" t="s">
        <v>30</v>
      </c>
      <c r="J43">
        <v>2</v>
      </c>
      <c r="K43">
        <v>165000</v>
      </c>
      <c r="L43">
        <v>0</v>
      </c>
      <c r="M43">
        <v>330000</v>
      </c>
      <c r="N43">
        <v>112000</v>
      </c>
      <c r="O43" t="s">
        <v>23</v>
      </c>
      <c r="P43" t="s">
        <v>24</v>
      </c>
    </row>
    <row r="44" spans="1:16" x14ac:dyDescent="0.35">
      <c r="A44">
        <v>100043</v>
      </c>
      <c r="B44" s="1">
        <v>46188</v>
      </c>
      <c r="C44" t="s">
        <v>50</v>
      </c>
      <c r="D44" t="s">
        <v>51</v>
      </c>
      <c r="E44" t="s">
        <v>43</v>
      </c>
      <c r="F44" t="s">
        <v>19</v>
      </c>
      <c r="G44" t="s">
        <v>62</v>
      </c>
      <c r="H44" t="s">
        <v>95</v>
      </c>
      <c r="I44" t="s">
        <v>30</v>
      </c>
      <c r="J44">
        <v>2</v>
      </c>
      <c r="K44">
        <v>24000</v>
      </c>
      <c r="L44">
        <v>0.15</v>
      </c>
      <c r="M44">
        <v>40800</v>
      </c>
      <c r="N44">
        <v>15000</v>
      </c>
      <c r="O44" t="s">
        <v>23</v>
      </c>
      <c r="P44" t="s">
        <v>47</v>
      </c>
    </row>
    <row r="45" spans="1:16" x14ac:dyDescent="0.35">
      <c r="A45">
        <v>100044</v>
      </c>
      <c r="B45" s="1">
        <v>46167</v>
      </c>
      <c r="C45" t="s">
        <v>32</v>
      </c>
      <c r="D45" t="s">
        <v>17</v>
      </c>
      <c r="E45" t="s">
        <v>37</v>
      </c>
      <c r="F45" t="s">
        <v>19</v>
      </c>
      <c r="G45" t="s">
        <v>62</v>
      </c>
      <c r="H45" t="s">
        <v>96</v>
      </c>
      <c r="I45" t="s">
        <v>30</v>
      </c>
      <c r="J45">
        <v>1</v>
      </c>
      <c r="K45">
        <v>24000</v>
      </c>
      <c r="L45">
        <v>0.2</v>
      </c>
      <c r="M45">
        <v>19200</v>
      </c>
      <c r="N45">
        <v>15000</v>
      </c>
      <c r="O45" t="s">
        <v>23</v>
      </c>
      <c r="P45" t="s">
        <v>54</v>
      </c>
    </row>
    <row r="46" spans="1:16" x14ac:dyDescent="0.35">
      <c r="A46">
        <v>100045</v>
      </c>
      <c r="B46" s="1">
        <v>46029</v>
      </c>
      <c r="C46" t="s">
        <v>42</v>
      </c>
      <c r="D46" t="s">
        <v>26</v>
      </c>
      <c r="E46" t="s">
        <v>37</v>
      </c>
      <c r="F46" t="s">
        <v>27</v>
      </c>
      <c r="G46" t="s">
        <v>33</v>
      </c>
      <c r="H46" t="s">
        <v>97</v>
      </c>
      <c r="I46" t="s">
        <v>30</v>
      </c>
      <c r="J46">
        <v>1</v>
      </c>
      <c r="K46">
        <v>32000</v>
      </c>
      <c r="L46">
        <v>0</v>
      </c>
      <c r="M46">
        <v>32000</v>
      </c>
      <c r="N46">
        <v>19000</v>
      </c>
      <c r="O46" t="s">
        <v>76</v>
      </c>
      <c r="P46" t="s">
        <v>54</v>
      </c>
    </row>
    <row r="47" spans="1:16" x14ac:dyDescent="0.35">
      <c r="A47">
        <v>100046</v>
      </c>
      <c r="B47" s="1">
        <v>46145</v>
      </c>
      <c r="C47" t="s">
        <v>35</v>
      </c>
      <c r="D47" t="s">
        <v>36</v>
      </c>
      <c r="E47" t="s">
        <v>43</v>
      </c>
      <c r="F47" t="s">
        <v>19</v>
      </c>
      <c r="G47" t="s">
        <v>62</v>
      </c>
      <c r="H47" t="s">
        <v>98</v>
      </c>
      <c r="I47" t="s">
        <v>30</v>
      </c>
      <c r="J47">
        <v>3</v>
      </c>
      <c r="K47">
        <v>24000</v>
      </c>
      <c r="L47">
        <v>0.05</v>
      </c>
      <c r="M47">
        <v>68400</v>
      </c>
      <c r="N47">
        <v>15000</v>
      </c>
      <c r="O47" t="s">
        <v>23</v>
      </c>
      <c r="P47" t="s">
        <v>54</v>
      </c>
    </row>
    <row r="48" spans="1:16" x14ac:dyDescent="0.35">
      <c r="A48">
        <v>100047</v>
      </c>
      <c r="B48" s="1">
        <v>46132</v>
      </c>
      <c r="C48" t="s">
        <v>25</v>
      </c>
      <c r="D48" t="s">
        <v>26</v>
      </c>
      <c r="E48" t="s">
        <v>43</v>
      </c>
      <c r="F48" t="s">
        <v>19</v>
      </c>
      <c r="G48" t="s">
        <v>20</v>
      </c>
      <c r="H48" t="s">
        <v>99</v>
      </c>
      <c r="I48" t="s">
        <v>30</v>
      </c>
      <c r="J48">
        <v>4</v>
      </c>
      <c r="K48">
        <v>58000</v>
      </c>
      <c r="L48">
        <v>0</v>
      </c>
      <c r="M48">
        <v>232000</v>
      </c>
      <c r="N48">
        <v>39000</v>
      </c>
      <c r="O48" t="s">
        <v>23</v>
      </c>
      <c r="P48" t="s">
        <v>84</v>
      </c>
    </row>
    <row r="49" spans="1:16" x14ac:dyDescent="0.35">
      <c r="A49">
        <v>100048</v>
      </c>
      <c r="B49" s="1">
        <v>46039</v>
      </c>
      <c r="C49" t="s">
        <v>35</v>
      </c>
      <c r="D49" t="s">
        <v>36</v>
      </c>
      <c r="E49" t="s">
        <v>43</v>
      </c>
      <c r="F49" t="s">
        <v>27</v>
      </c>
      <c r="G49" t="s">
        <v>38</v>
      </c>
      <c r="H49" t="s">
        <v>100</v>
      </c>
      <c r="I49" t="s">
        <v>22</v>
      </c>
      <c r="J49">
        <v>2</v>
      </c>
      <c r="K49">
        <v>26000</v>
      </c>
      <c r="L49">
        <v>0.05</v>
      </c>
      <c r="M49">
        <v>49400</v>
      </c>
      <c r="N49">
        <v>15000</v>
      </c>
      <c r="O49" t="s">
        <v>23</v>
      </c>
      <c r="P49" t="s">
        <v>40</v>
      </c>
    </row>
    <row r="50" spans="1:16" x14ac:dyDescent="0.35">
      <c r="A50">
        <v>100049</v>
      </c>
      <c r="B50" s="1">
        <v>46182</v>
      </c>
      <c r="C50" t="s">
        <v>50</v>
      </c>
      <c r="D50" t="s">
        <v>51</v>
      </c>
      <c r="E50" t="s">
        <v>43</v>
      </c>
      <c r="F50" t="s">
        <v>44</v>
      </c>
      <c r="G50" t="s">
        <v>45</v>
      </c>
      <c r="H50" t="s">
        <v>85</v>
      </c>
      <c r="I50" t="s">
        <v>22</v>
      </c>
      <c r="J50">
        <v>5</v>
      </c>
      <c r="K50">
        <v>6500</v>
      </c>
      <c r="L50">
        <v>0.05</v>
      </c>
      <c r="M50">
        <v>30875</v>
      </c>
      <c r="N50">
        <v>2200</v>
      </c>
      <c r="O50" t="s">
        <v>23</v>
      </c>
      <c r="P50" t="s">
        <v>84</v>
      </c>
    </row>
    <row r="51" spans="1:16" x14ac:dyDescent="0.35">
      <c r="A51">
        <v>100050</v>
      </c>
      <c r="B51" s="1">
        <v>46056</v>
      </c>
      <c r="C51" t="s">
        <v>35</v>
      </c>
      <c r="D51" t="s">
        <v>36</v>
      </c>
      <c r="E51" t="s">
        <v>43</v>
      </c>
      <c r="F51" t="s">
        <v>44</v>
      </c>
      <c r="G51" t="s">
        <v>60</v>
      </c>
      <c r="H51" t="s">
        <v>101</v>
      </c>
      <c r="I51" t="s">
        <v>30</v>
      </c>
      <c r="J51">
        <v>3</v>
      </c>
      <c r="K51">
        <v>9000</v>
      </c>
      <c r="L51">
        <v>0</v>
      </c>
      <c r="M51">
        <v>27000</v>
      </c>
      <c r="N51">
        <v>3500</v>
      </c>
      <c r="O51" t="s">
        <v>23</v>
      </c>
      <c r="P51" t="s">
        <v>24</v>
      </c>
    </row>
    <row r="52" spans="1:16" x14ac:dyDescent="0.35">
      <c r="A52">
        <v>100051</v>
      </c>
      <c r="B52" s="1">
        <v>46035</v>
      </c>
      <c r="C52" t="s">
        <v>16</v>
      </c>
      <c r="D52" t="s">
        <v>17</v>
      </c>
      <c r="E52" t="s">
        <v>37</v>
      </c>
      <c r="F52" t="s">
        <v>19</v>
      </c>
      <c r="G52" t="s">
        <v>52</v>
      </c>
      <c r="H52" t="s">
        <v>53</v>
      </c>
      <c r="I52" t="s">
        <v>22</v>
      </c>
      <c r="J52">
        <v>2</v>
      </c>
      <c r="K52">
        <v>42000</v>
      </c>
      <c r="L52">
        <v>0.1</v>
      </c>
      <c r="M52">
        <v>75600</v>
      </c>
      <c r="O52" t="s">
        <v>23</v>
      </c>
      <c r="P52" t="s">
        <v>24</v>
      </c>
    </row>
    <row r="53" spans="1:16" x14ac:dyDescent="0.35">
      <c r="A53">
        <v>100052</v>
      </c>
      <c r="B53" s="1">
        <v>46033</v>
      </c>
      <c r="C53" t="s">
        <v>55</v>
      </c>
      <c r="D53" t="s">
        <v>56</v>
      </c>
      <c r="E53" t="s">
        <v>18</v>
      </c>
      <c r="F53" t="s">
        <v>27</v>
      </c>
      <c r="G53" t="s">
        <v>28</v>
      </c>
      <c r="H53" t="s">
        <v>102</v>
      </c>
      <c r="I53" t="s">
        <v>30</v>
      </c>
      <c r="J53">
        <v>4</v>
      </c>
      <c r="K53">
        <v>165000</v>
      </c>
      <c r="L53">
        <v>0</v>
      </c>
      <c r="M53">
        <v>660000</v>
      </c>
      <c r="N53">
        <v>112000</v>
      </c>
      <c r="O53" t="s">
        <v>23</v>
      </c>
      <c r="P53" t="s">
        <v>24</v>
      </c>
    </row>
    <row r="54" spans="1:16" x14ac:dyDescent="0.35">
      <c r="A54">
        <v>100053</v>
      </c>
      <c r="B54" s="1">
        <v>46180</v>
      </c>
      <c r="C54" t="s">
        <v>35</v>
      </c>
      <c r="D54" t="s">
        <v>36</v>
      </c>
      <c r="E54" t="s">
        <v>43</v>
      </c>
      <c r="F54" t="s">
        <v>44</v>
      </c>
      <c r="G54" t="s">
        <v>45</v>
      </c>
      <c r="H54" t="s">
        <v>103</v>
      </c>
      <c r="I54" t="s">
        <v>30</v>
      </c>
      <c r="J54">
        <v>4</v>
      </c>
      <c r="K54">
        <v>6500</v>
      </c>
      <c r="L54">
        <v>0</v>
      </c>
      <c r="M54">
        <v>26000</v>
      </c>
      <c r="N54">
        <v>2200</v>
      </c>
      <c r="O54" t="s">
        <v>23</v>
      </c>
      <c r="P54" t="s">
        <v>64</v>
      </c>
    </row>
    <row r="55" spans="1:16" x14ac:dyDescent="0.35">
      <c r="A55">
        <v>100054</v>
      </c>
      <c r="B55" s="1">
        <v>46140</v>
      </c>
      <c r="C55" t="s">
        <v>32</v>
      </c>
      <c r="D55" t="s">
        <v>17</v>
      </c>
      <c r="E55" t="s">
        <v>43</v>
      </c>
      <c r="F55" t="s">
        <v>44</v>
      </c>
      <c r="G55" t="s">
        <v>60</v>
      </c>
      <c r="H55" t="s">
        <v>104</v>
      </c>
      <c r="I55" t="s">
        <v>30</v>
      </c>
      <c r="J55">
        <v>1</v>
      </c>
      <c r="K55">
        <v>9000</v>
      </c>
      <c r="L55">
        <v>0.1</v>
      </c>
      <c r="M55">
        <v>8100</v>
      </c>
      <c r="N55">
        <v>3500</v>
      </c>
      <c r="O55" t="s">
        <v>23</v>
      </c>
      <c r="P55" t="s">
        <v>84</v>
      </c>
    </row>
    <row r="56" spans="1:16" x14ac:dyDescent="0.35">
      <c r="A56">
        <v>100055</v>
      </c>
      <c r="B56" s="1">
        <v>46178</v>
      </c>
      <c r="C56" t="s">
        <v>35</v>
      </c>
      <c r="D56" t="s">
        <v>36</v>
      </c>
      <c r="E56" t="s">
        <v>43</v>
      </c>
      <c r="F56" t="s">
        <v>27</v>
      </c>
      <c r="G56" t="s">
        <v>38</v>
      </c>
      <c r="H56" t="s">
        <v>105</v>
      </c>
      <c r="I56" t="s">
        <v>22</v>
      </c>
      <c r="J56">
        <v>2</v>
      </c>
      <c r="K56">
        <v>26000</v>
      </c>
      <c r="L56">
        <v>0.15</v>
      </c>
      <c r="M56">
        <v>44200</v>
      </c>
      <c r="N56">
        <v>15000</v>
      </c>
      <c r="O56" t="s">
        <v>23</v>
      </c>
      <c r="P56" t="s">
        <v>47</v>
      </c>
    </row>
    <row r="57" spans="1:16" x14ac:dyDescent="0.35">
      <c r="A57">
        <v>100056</v>
      </c>
      <c r="B57" s="1">
        <v>46191</v>
      </c>
      <c r="C57" t="s">
        <v>35</v>
      </c>
      <c r="D57" t="s">
        <v>36</v>
      </c>
      <c r="E57" t="s">
        <v>43</v>
      </c>
      <c r="F57" t="s">
        <v>44</v>
      </c>
      <c r="G57" t="s">
        <v>60</v>
      </c>
      <c r="H57" t="s">
        <v>106</v>
      </c>
      <c r="I57" t="s">
        <v>22</v>
      </c>
      <c r="J57">
        <v>1</v>
      </c>
      <c r="K57">
        <v>9000</v>
      </c>
      <c r="L57">
        <v>0.05</v>
      </c>
      <c r="M57">
        <v>6840</v>
      </c>
      <c r="N57">
        <v>3500</v>
      </c>
      <c r="O57" t="s">
        <v>23</v>
      </c>
      <c r="P57" t="s">
        <v>47</v>
      </c>
    </row>
    <row r="58" spans="1:16" x14ac:dyDescent="0.35">
      <c r="A58">
        <v>100057</v>
      </c>
      <c r="B58" s="1">
        <v>46196</v>
      </c>
      <c r="C58" t="s">
        <v>50</v>
      </c>
      <c r="D58" t="s">
        <v>51</v>
      </c>
      <c r="E58" t="s">
        <v>37</v>
      </c>
      <c r="F58" t="s">
        <v>27</v>
      </c>
      <c r="G58" t="s">
        <v>38</v>
      </c>
      <c r="H58" t="s">
        <v>107</v>
      </c>
      <c r="I58" t="s">
        <v>22</v>
      </c>
      <c r="J58">
        <v>1</v>
      </c>
      <c r="K58">
        <v>26000</v>
      </c>
      <c r="L58">
        <v>0.15</v>
      </c>
      <c r="M58">
        <v>22100</v>
      </c>
      <c r="N58">
        <v>15000</v>
      </c>
      <c r="O58" t="s">
        <v>23</v>
      </c>
      <c r="P58" t="s">
        <v>54</v>
      </c>
    </row>
    <row r="59" spans="1:16" x14ac:dyDescent="0.35">
      <c r="A59">
        <v>100058</v>
      </c>
      <c r="B59" s="1">
        <v>46140</v>
      </c>
      <c r="C59" t="s">
        <v>35</v>
      </c>
      <c r="D59" t="s">
        <v>36</v>
      </c>
      <c r="E59" t="s">
        <v>43</v>
      </c>
      <c r="F59" t="s">
        <v>44</v>
      </c>
      <c r="G59" t="s">
        <v>65</v>
      </c>
      <c r="H59" t="s">
        <v>108</v>
      </c>
      <c r="I59" t="s">
        <v>30</v>
      </c>
      <c r="J59">
        <v>2</v>
      </c>
      <c r="K59">
        <v>28000</v>
      </c>
      <c r="L59">
        <v>0</v>
      </c>
      <c r="M59">
        <v>56000</v>
      </c>
      <c r="N59">
        <v>16000</v>
      </c>
      <c r="O59" t="s">
        <v>23</v>
      </c>
      <c r="P59" t="s">
        <v>84</v>
      </c>
    </row>
    <row r="60" spans="1:16" x14ac:dyDescent="0.35">
      <c r="A60">
        <v>100059</v>
      </c>
      <c r="B60" s="1">
        <v>46039</v>
      </c>
      <c r="C60" t="s">
        <v>42</v>
      </c>
      <c r="D60" t="s">
        <v>26</v>
      </c>
      <c r="E60" t="s">
        <v>37</v>
      </c>
      <c r="F60" t="s">
        <v>19</v>
      </c>
      <c r="G60" t="s">
        <v>52</v>
      </c>
      <c r="H60" t="s">
        <v>109</v>
      </c>
      <c r="I60" t="s">
        <v>30</v>
      </c>
      <c r="J60">
        <v>2</v>
      </c>
      <c r="K60">
        <v>42000</v>
      </c>
      <c r="L60">
        <v>0.1</v>
      </c>
      <c r="M60">
        <v>75600</v>
      </c>
      <c r="N60">
        <v>28000</v>
      </c>
      <c r="O60" t="s">
        <v>23</v>
      </c>
      <c r="P60" t="s">
        <v>84</v>
      </c>
    </row>
    <row r="61" spans="1:16" x14ac:dyDescent="0.35">
      <c r="A61">
        <v>100060</v>
      </c>
      <c r="B61" s="1">
        <v>46046</v>
      </c>
      <c r="C61" t="s">
        <v>50</v>
      </c>
      <c r="D61" t="s">
        <v>51</v>
      </c>
      <c r="E61" t="s">
        <v>37</v>
      </c>
      <c r="F61" t="s">
        <v>27</v>
      </c>
      <c r="G61" t="s">
        <v>33</v>
      </c>
      <c r="H61" t="s">
        <v>110</v>
      </c>
      <c r="I61" t="s">
        <v>30</v>
      </c>
      <c r="J61">
        <v>1</v>
      </c>
      <c r="K61">
        <v>32000</v>
      </c>
      <c r="L61">
        <v>0.1</v>
      </c>
      <c r="M61">
        <v>28800</v>
      </c>
      <c r="N61">
        <v>19000</v>
      </c>
      <c r="O61" t="s">
        <v>23</v>
      </c>
      <c r="P61" t="s">
        <v>47</v>
      </c>
    </row>
    <row r="62" spans="1:16" x14ac:dyDescent="0.35">
      <c r="A62">
        <v>100061</v>
      </c>
      <c r="B62" s="1">
        <v>46251</v>
      </c>
      <c r="C62" t="s">
        <v>42</v>
      </c>
      <c r="D62" t="s">
        <v>26</v>
      </c>
      <c r="E62" t="s">
        <v>43</v>
      </c>
      <c r="F62" t="s">
        <v>27</v>
      </c>
      <c r="G62" t="s">
        <v>33</v>
      </c>
      <c r="H62" t="s">
        <v>111</v>
      </c>
      <c r="I62" t="s">
        <v>30</v>
      </c>
      <c r="J62">
        <v>1</v>
      </c>
      <c r="K62">
        <v>32000</v>
      </c>
      <c r="L62">
        <v>0.15</v>
      </c>
      <c r="M62">
        <v>27200</v>
      </c>
      <c r="N62">
        <v>19000</v>
      </c>
      <c r="O62" t="s">
        <v>23</v>
      </c>
      <c r="P62" t="s">
        <v>84</v>
      </c>
    </row>
    <row r="63" spans="1:16" x14ac:dyDescent="0.35">
      <c r="A63">
        <v>100062</v>
      </c>
      <c r="B63" s="1">
        <v>46161</v>
      </c>
      <c r="C63" t="s">
        <v>55</v>
      </c>
      <c r="D63" t="s">
        <v>56</v>
      </c>
      <c r="E63" t="s">
        <v>37</v>
      </c>
      <c r="F63" t="s">
        <v>27</v>
      </c>
      <c r="G63" t="s">
        <v>28</v>
      </c>
      <c r="H63" t="s">
        <v>112</v>
      </c>
      <c r="I63" t="s">
        <v>22</v>
      </c>
      <c r="J63">
        <v>3</v>
      </c>
      <c r="K63">
        <v>165000</v>
      </c>
      <c r="L63">
        <v>0</v>
      </c>
      <c r="M63">
        <v>495000</v>
      </c>
      <c r="N63">
        <v>112000</v>
      </c>
      <c r="O63" t="s">
        <v>23</v>
      </c>
      <c r="P63" t="s">
        <v>84</v>
      </c>
    </row>
    <row r="64" spans="1:16" x14ac:dyDescent="0.35">
      <c r="A64">
        <v>100063</v>
      </c>
      <c r="B64" s="1">
        <v>46114</v>
      </c>
      <c r="C64" t="s">
        <v>42</v>
      </c>
      <c r="D64" t="s">
        <v>26</v>
      </c>
      <c r="E64" t="s">
        <v>43</v>
      </c>
      <c r="F64" t="s">
        <v>19</v>
      </c>
      <c r="G64" t="s">
        <v>20</v>
      </c>
      <c r="H64" t="s">
        <v>77</v>
      </c>
      <c r="I64" t="s">
        <v>22</v>
      </c>
      <c r="J64">
        <v>1</v>
      </c>
      <c r="K64">
        <v>58000</v>
      </c>
      <c r="L64">
        <v>0</v>
      </c>
      <c r="M64">
        <v>58000</v>
      </c>
      <c r="N64">
        <v>39000</v>
      </c>
      <c r="O64" t="s">
        <v>23</v>
      </c>
      <c r="P64" t="s">
        <v>54</v>
      </c>
    </row>
    <row r="65" spans="1:16" x14ac:dyDescent="0.35">
      <c r="A65">
        <v>100064</v>
      </c>
      <c r="B65" s="1">
        <v>46224</v>
      </c>
      <c r="C65" t="s">
        <v>25</v>
      </c>
      <c r="D65" t="s">
        <v>26</v>
      </c>
      <c r="E65" t="s">
        <v>18</v>
      </c>
      <c r="F65" t="s">
        <v>19</v>
      </c>
      <c r="G65" t="s">
        <v>62</v>
      </c>
      <c r="H65" t="s">
        <v>99</v>
      </c>
      <c r="I65" t="s">
        <v>22</v>
      </c>
      <c r="J65">
        <v>1</v>
      </c>
      <c r="K65">
        <v>24000</v>
      </c>
      <c r="L65">
        <v>0.05</v>
      </c>
      <c r="M65">
        <v>22800</v>
      </c>
      <c r="N65">
        <v>15000</v>
      </c>
      <c r="O65" t="s">
        <v>23</v>
      </c>
      <c r="P65" t="s">
        <v>31</v>
      </c>
    </row>
    <row r="66" spans="1:16" x14ac:dyDescent="0.35">
      <c r="A66">
        <v>100065</v>
      </c>
      <c r="B66" s="1">
        <v>46172</v>
      </c>
      <c r="C66" t="s">
        <v>55</v>
      </c>
      <c r="D66" t="s">
        <v>56</v>
      </c>
      <c r="E66" t="s">
        <v>43</v>
      </c>
      <c r="F66" t="s">
        <v>27</v>
      </c>
      <c r="G66" t="s">
        <v>28</v>
      </c>
      <c r="H66" t="s">
        <v>113</v>
      </c>
      <c r="I66" t="s">
        <v>30</v>
      </c>
      <c r="J66">
        <v>4</v>
      </c>
      <c r="K66">
        <v>165000</v>
      </c>
      <c r="L66">
        <v>0.1</v>
      </c>
      <c r="M66">
        <v>594000</v>
      </c>
      <c r="N66">
        <v>112000</v>
      </c>
      <c r="O66" t="s">
        <v>23</v>
      </c>
      <c r="P66" t="s">
        <v>58</v>
      </c>
    </row>
    <row r="67" spans="1:16" x14ac:dyDescent="0.35">
      <c r="A67">
        <v>100066</v>
      </c>
      <c r="B67" s="1">
        <v>46107</v>
      </c>
      <c r="C67" t="s">
        <v>50</v>
      </c>
      <c r="D67" t="s">
        <v>51</v>
      </c>
      <c r="E67" t="s">
        <v>37</v>
      </c>
      <c r="F67" t="s">
        <v>19</v>
      </c>
      <c r="G67" t="s">
        <v>52</v>
      </c>
      <c r="H67" t="s">
        <v>114</v>
      </c>
      <c r="I67" t="s">
        <v>30</v>
      </c>
      <c r="J67">
        <v>3</v>
      </c>
      <c r="K67">
        <v>42000</v>
      </c>
      <c r="L67">
        <v>0.1</v>
      </c>
      <c r="M67">
        <v>113400</v>
      </c>
      <c r="N67">
        <v>28000</v>
      </c>
      <c r="O67" t="s">
        <v>23</v>
      </c>
      <c r="P67" t="s">
        <v>31</v>
      </c>
    </row>
    <row r="68" spans="1:16" x14ac:dyDescent="0.35">
      <c r="A68">
        <v>100067</v>
      </c>
      <c r="B68" s="1">
        <v>46210</v>
      </c>
      <c r="C68" t="s">
        <v>16</v>
      </c>
      <c r="D68" t="s">
        <v>17</v>
      </c>
      <c r="E68" t="s">
        <v>18</v>
      </c>
      <c r="F68" t="s">
        <v>44</v>
      </c>
      <c r="G68" t="s">
        <v>65</v>
      </c>
      <c r="H68" t="s">
        <v>115</v>
      </c>
      <c r="I68" t="s">
        <v>22</v>
      </c>
      <c r="J68">
        <v>3</v>
      </c>
      <c r="K68">
        <v>28000</v>
      </c>
      <c r="L68">
        <v>0.15</v>
      </c>
      <c r="M68">
        <v>57120</v>
      </c>
      <c r="N68">
        <v>16000</v>
      </c>
      <c r="O68" t="s">
        <v>23</v>
      </c>
      <c r="P68" t="s">
        <v>58</v>
      </c>
    </row>
    <row r="69" spans="1:16" x14ac:dyDescent="0.35">
      <c r="A69">
        <v>100068</v>
      </c>
      <c r="B69" s="1">
        <v>46111</v>
      </c>
      <c r="C69" t="s">
        <v>16</v>
      </c>
      <c r="D69" t="s">
        <v>17</v>
      </c>
      <c r="E69" t="s">
        <v>37</v>
      </c>
      <c r="F69" t="s">
        <v>44</v>
      </c>
      <c r="G69" t="s">
        <v>65</v>
      </c>
      <c r="H69" t="s">
        <v>116</v>
      </c>
      <c r="I69" t="s">
        <v>22</v>
      </c>
      <c r="J69">
        <v>4</v>
      </c>
      <c r="K69">
        <v>28000</v>
      </c>
      <c r="L69">
        <v>0.05</v>
      </c>
      <c r="M69">
        <v>106400</v>
      </c>
      <c r="N69">
        <v>16000</v>
      </c>
      <c r="O69" t="s">
        <v>23</v>
      </c>
      <c r="P69" t="s">
        <v>58</v>
      </c>
    </row>
    <row r="70" spans="1:16" x14ac:dyDescent="0.35">
      <c r="A70">
        <v>100069</v>
      </c>
      <c r="B70" s="1">
        <v>46092</v>
      </c>
      <c r="C70" t="s">
        <v>55</v>
      </c>
      <c r="D70" t="s">
        <v>56</v>
      </c>
      <c r="E70" t="s">
        <v>43</v>
      </c>
      <c r="F70" t="s">
        <v>27</v>
      </c>
      <c r="G70" t="s">
        <v>28</v>
      </c>
      <c r="H70" t="s">
        <v>117</v>
      </c>
      <c r="I70" t="s">
        <v>22</v>
      </c>
      <c r="J70">
        <v>3</v>
      </c>
      <c r="K70">
        <v>165000</v>
      </c>
      <c r="L70">
        <v>0.05</v>
      </c>
      <c r="M70">
        <v>470250</v>
      </c>
      <c r="N70">
        <v>112000</v>
      </c>
      <c r="O70" t="s">
        <v>23</v>
      </c>
      <c r="P70" t="s">
        <v>47</v>
      </c>
    </row>
    <row r="71" spans="1:16" x14ac:dyDescent="0.35">
      <c r="A71">
        <v>100070</v>
      </c>
      <c r="B71" s="1">
        <v>46147</v>
      </c>
      <c r="C71" t="s">
        <v>55</v>
      </c>
      <c r="D71" t="s">
        <v>56</v>
      </c>
      <c r="E71" t="s">
        <v>43</v>
      </c>
      <c r="F71" t="s">
        <v>19</v>
      </c>
      <c r="G71" t="s">
        <v>20</v>
      </c>
      <c r="H71" t="s">
        <v>118</v>
      </c>
      <c r="I71" t="s">
        <v>22</v>
      </c>
      <c r="J71">
        <v>3</v>
      </c>
      <c r="K71">
        <v>58000</v>
      </c>
      <c r="L71">
        <v>0</v>
      </c>
      <c r="M71">
        <v>174000</v>
      </c>
      <c r="O71" t="s">
        <v>23</v>
      </c>
      <c r="P71" t="s">
        <v>64</v>
      </c>
    </row>
    <row r="72" spans="1:16" x14ac:dyDescent="0.35">
      <c r="A72">
        <v>100071</v>
      </c>
      <c r="B72" s="1">
        <v>46028</v>
      </c>
      <c r="C72" t="s">
        <v>42</v>
      </c>
      <c r="D72" t="s">
        <v>26</v>
      </c>
      <c r="E72" t="s">
        <v>37</v>
      </c>
      <c r="F72" t="s">
        <v>27</v>
      </c>
      <c r="G72" t="s">
        <v>38</v>
      </c>
      <c r="H72" t="s">
        <v>119</v>
      </c>
      <c r="I72" t="s">
        <v>30</v>
      </c>
      <c r="J72">
        <v>4</v>
      </c>
      <c r="K72">
        <v>26000</v>
      </c>
      <c r="L72">
        <v>0.1</v>
      </c>
      <c r="M72">
        <v>93600</v>
      </c>
      <c r="N72">
        <v>15000</v>
      </c>
      <c r="O72" t="s">
        <v>23</v>
      </c>
      <c r="P72" t="s">
        <v>24</v>
      </c>
    </row>
    <row r="73" spans="1:16" x14ac:dyDescent="0.35">
      <c r="A73">
        <v>100072</v>
      </c>
      <c r="B73" s="1">
        <v>46182</v>
      </c>
      <c r="C73" t="s">
        <v>50</v>
      </c>
      <c r="D73" t="s">
        <v>51</v>
      </c>
      <c r="E73" t="s">
        <v>43</v>
      </c>
      <c r="F73" t="s">
        <v>19</v>
      </c>
      <c r="G73" t="s">
        <v>20</v>
      </c>
      <c r="H73" t="s">
        <v>120</v>
      </c>
      <c r="I73" t="s">
        <v>22</v>
      </c>
      <c r="J73">
        <v>3</v>
      </c>
      <c r="K73">
        <v>58000</v>
      </c>
      <c r="L73">
        <v>0.1</v>
      </c>
      <c r="M73">
        <v>125280</v>
      </c>
      <c r="N73">
        <v>39000</v>
      </c>
      <c r="O73" t="s">
        <v>23</v>
      </c>
      <c r="P73" t="s">
        <v>40</v>
      </c>
    </row>
    <row r="74" spans="1:16" x14ac:dyDescent="0.35">
      <c r="A74">
        <v>100073</v>
      </c>
      <c r="B74" s="1">
        <v>46086</v>
      </c>
      <c r="C74" t="s">
        <v>32</v>
      </c>
      <c r="D74" t="s">
        <v>17</v>
      </c>
      <c r="E74" t="s">
        <v>37</v>
      </c>
      <c r="F74" t="s">
        <v>27</v>
      </c>
      <c r="G74" t="s">
        <v>38</v>
      </c>
      <c r="H74" t="s">
        <v>121</v>
      </c>
      <c r="I74" t="s">
        <v>30</v>
      </c>
      <c r="J74">
        <v>1</v>
      </c>
      <c r="K74">
        <v>26000</v>
      </c>
      <c r="L74">
        <v>0.1</v>
      </c>
      <c r="M74">
        <v>23400</v>
      </c>
      <c r="N74">
        <v>15000</v>
      </c>
      <c r="O74" t="s">
        <v>76</v>
      </c>
      <c r="P74" t="s">
        <v>47</v>
      </c>
    </row>
    <row r="75" spans="1:16" x14ac:dyDescent="0.35">
      <c r="A75">
        <v>100074</v>
      </c>
      <c r="B75" s="1">
        <v>46132</v>
      </c>
      <c r="C75" t="s">
        <v>50</v>
      </c>
      <c r="D75" t="s">
        <v>51</v>
      </c>
      <c r="E75" t="s">
        <v>43</v>
      </c>
      <c r="F75" t="s">
        <v>44</v>
      </c>
      <c r="G75" t="s">
        <v>45</v>
      </c>
      <c r="H75" t="s">
        <v>122</v>
      </c>
      <c r="I75" t="s">
        <v>22</v>
      </c>
      <c r="J75">
        <v>4</v>
      </c>
      <c r="K75">
        <v>6500</v>
      </c>
      <c r="L75">
        <v>0.05</v>
      </c>
      <c r="M75">
        <v>24700</v>
      </c>
      <c r="N75">
        <v>2200</v>
      </c>
      <c r="O75" t="s">
        <v>23</v>
      </c>
      <c r="P75" t="s">
        <v>24</v>
      </c>
    </row>
    <row r="76" spans="1:16" x14ac:dyDescent="0.35">
      <c r="A76">
        <v>100075</v>
      </c>
      <c r="B76" s="1">
        <v>46256</v>
      </c>
      <c r="C76" t="s">
        <v>25</v>
      </c>
      <c r="D76" t="s">
        <v>26</v>
      </c>
      <c r="E76" t="s">
        <v>43</v>
      </c>
      <c r="F76" t="s">
        <v>27</v>
      </c>
      <c r="G76" t="s">
        <v>28</v>
      </c>
      <c r="H76" t="s">
        <v>123</v>
      </c>
      <c r="I76" t="s">
        <v>30</v>
      </c>
      <c r="J76">
        <v>1</v>
      </c>
      <c r="K76">
        <v>165000</v>
      </c>
      <c r="L76">
        <v>0.05</v>
      </c>
      <c r="M76">
        <v>156750</v>
      </c>
      <c r="N76">
        <v>112000</v>
      </c>
      <c r="O76" t="s">
        <v>23</v>
      </c>
      <c r="P76" t="s">
        <v>54</v>
      </c>
    </row>
    <row r="77" spans="1:16" x14ac:dyDescent="0.35">
      <c r="A77">
        <v>100076</v>
      </c>
      <c r="B77" s="1">
        <v>46064</v>
      </c>
      <c r="C77" t="s">
        <v>25</v>
      </c>
      <c r="D77" t="s">
        <v>26</v>
      </c>
      <c r="E77" t="s">
        <v>43</v>
      </c>
      <c r="F77" t="s">
        <v>27</v>
      </c>
      <c r="G77" t="s">
        <v>38</v>
      </c>
      <c r="H77" t="s">
        <v>124</v>
      </c>
      <c r="I77" t="s">
        <v>22</v>
      </c>
      <c r="J77">
        <v>4</v>
      </c>
      <c r="K77">
        <v>26000</v>
      </c>
      <c r="L77">
        <v>0</v>
      </c>
      <c r="M77">
        <v>104000</v>
      </c>
      <c r="N77">
        <v>15000</v>
      </c>
      <c r="O77" t="s">
        <v>23</v>
      </c>
      <c r="P77" t="s">
        <v>84</v>
      </c>
    </row>
    <row r="78" spans="1:16" x14ac:dyDescent="0.35">
      <c r="A78">
        <v>100077</v>
      </c>
      <c r="B78" s="1">
        <v>46156</v>
      </c>
      <c r="C78" t="s">
        <v>42</v>
      </c>
      <c r="D78" t="s">
        <v>26</v>
      </c>
      <c r="E78" t="s">
        <v>43</v>
      </c>
      <c r="F78" t="s">
        <v>44</v>
      </c>
      <c r="G78" t="s">
        <v>60</v>
      </c>
      <c r="H78" t="s">
        <v>63</v>
      </c>
      <c r="I78" t="s">
        <v>22</v>
      </c>
      <c r="J78">
        <v>2</v>
      </c>
      <c r="K78">
        <v>9000</v>
      </c>
      <c r="L78">
        <v>0.15</v>
      </c>
      <c r="M78">
        <v>15300</v>
      </c>
      <c r="N78">
        <v>3500</v>
      </c>
      <c r="O78" t="s">
        <v>23</v>
      </c>
      <c r="P78" t="s">
        <v>24</v>
      </c>
    </row>
    <row r="79" spans="1:16" x14ac:dyDescent="0.35">
      <c r="A79">
        <v>100078</v>
      </c>
      <c r="B79" s="1">
        <v>46209</v>
      </c>
      <c r="C79" t="s">
        <v>25</v>
      </c>
      <c r="D79" t="s">
        <v>26</v>
      </c>
      <c r="E79" t="s">
        <v>43</v>
      </c>
      <c r="F79" t="s">
        <v>44</v>
      </c>
      <c r="G79" t="s">
        <v>45</v>
      </c>
      <c r="H79" t="s">
        <v>125</v>
      </c>
      <c r="I79" t="s">
        <v>30</v>
      </c>
      <c r="J79">
        <v>2</v>
      </c>
      <c r="K79">
        <v>6500</v>
      </c>
      <c r="L79">
        <v>0.1</v>
      </c>
      <c r="M79">
        <v>11700</v>
      </c>
      <c r="N79">
        <v>2200</v>
      </c>
      <c r="O79" t="s">
        <v>23</v>
      </c>
      <c r="P79" t="s">
        <v>31</v>
      </c>
    </row>
    <row r="80" spans="1:16" x14ac:dyDescent="0.35">
      <c r="A80">
        <v>100079</v>
      </c>
      <c r="B80" s="1">
        <v>46058</v>
      </c>
      <c r="C80" t="s">
        <v>42</v>
      </c>
      <c r="D80" t="s">
        <v>26</v>
      </c>
      <c r="E80" t="s">
        <v>43</v>
      </c>
      <c r="F80" t="s">
        <v>19</v>
      </c>
      <c r="G80" t="s">
        <v>20</v>
      </c>
      <c r="H80" t="s">
        <v>126</v>
      </c>
      <c r="I80" t="s">
        <v>30</v>
      </c>
      <c r="J80">
        <v>2</v>
      </c>
      <c r="K80">
        <v>58000</v>
      </c>
      <c r="L80">
        <v>0.1</v>
      </c>
      <c r="M80">
        <v>104400</v>
      </c>
      <c r="N80">
        <v>39000</v>
      </c>
      <c r="O80" t="s">
        <v>23</v>
      </c>
      <c r="P80" t="s">
        <v>84</v>
      </c>
    </row>
    <row r="81" spans="1:16" x14ac:dyDescent="0.35">
      <c r="A81">
        <v>100080</v>
      </c>
      <c r="B81" s="1">
        <v>46255</v>
      </c>
      <c r="C81" t="s">
        <v>50</v>
      </c>
      <c r="D81" t="s">
        <v>51</v>
      </c>
      <c r="E81" t="s">
        <v>37</v>
      </c>
      <c r="F81" t="s">
        <v>44</v>
      </c>
      <c r="G81" t="s">
        <v>65</v>
      </c>
      <c r="H81" t="s">
        <v>127</v>
      </c>
      <c r="I81" t="s">
        <v>30</v>
      </c>
      <c r="J81">
        <v>2</v>
      </c>
      <c r="K81">
        <v>28000</v>
      </c>
      <c r="L81">
        <v>0.1</v>
      </c>
      <c r="M81">
        <v>50400</v>
      </c>
      <c r="N81">
        <v>16000</v>
      </c>
      <c r="O81" t="s">
        <v>23</v>
      </c>
      <c r="P81" t="s">
        <v>31</v>
      </c>
    </row>
    <row r="82" spans="1:16" x14ac:dyDescent="0.35">
      <c r="A82">
        <v>100081</v>
      </c>
      <c r="B82" s="1">
        <v>46151</v>
      </c>
      <c r="C82" t="s">
        <v>42</v>
      </c>
      <c r="D82" t="s">
        <v>26</v>
      </c>
      <c r="E82" t="s">
        <v>37</v>
      </c>
      <c r="F82" t="s">
        <v>27</v>
      </c>
      <c r="G82" t="s">
        <v>33</v>
      </c>
      <c r="H82" t="s">
        <v>128</v>
      </c>
      <c r="I82" t="s">
        <v>22</v>
      </c>
      <c r="J82">
        <v>2</v>
      </c>
      <c r="K82">
        <v>32000</v>
      </c>
      <c r="L82">
        <v>0</v>
      </c>
      <c r="M82">
        <v>64000</v>
      </c>
      <c r="N82">
        <v>19000</v>
      </c>
      <c r="O82" t="s">
        <v>23</v>
      </c>
      <c r="P82" t="s">
        <v>84</v>
      </c>
    </row>
    <row r="83" spans="1:16" x14ac:dyDescent="0.35">
      <c r="A83">
        <v>100082</v>
      </c>
      <c r="B83" s="1">
        <v>46149</v>
      </c>
      <c r="C83" t="s">
        <v>32</v>
      </c>
      <c r="D83" t="s">
        <v>17</v>
      </c>
      <c r="E83" t="s">
        <v>37</v>
      </c>
      <c r="F83" t="s">
        <v>27</v>
      </c>
      <c r="G83" t="s">
        <v>28</v>
      </c>
      <c r="H83" t="s">
        <v>86</v>
      </c>
      <c r="I83" t="s">
        <v>22</v>
      </c>
      <c r="J83">
        <v>2</v>
      </c>
      <c r="K83">
        <v>165000</v>
      </c>
      <c r="L83">
        <v>0.1</v>
      </c>
      <c r="M83">
        <v>297000</v>
      </c>
      <c r="O83" t="s">
        <v>23</v>
      </c>
      <c r="P83" t="s">
        <v>54</v>
      </c>
    </row>
    <row r="84" spans="1:16" x14ac:dyDescent="0.35">
      <c r="A84">
        <v>100083</v>
      </c>
      <c r="B84" s="1">
        <v>46079</v>
      </c>
      <c r="C84" t="s">
        <v>42</v>
      </c>
      <c r="D84" t="s">
        <v>26</v>
      </c>
      <c r="E84" t="s">
        <v>43</v>
      </c>
      <c r="F84" t="s">
        <v>27</v>
      </c>
      <c r="G84" t="s">
        <v>28</v>
      </c>
      <c r="H84" t="s">
        <v>129</v>
      </c>
      <c r="I84" t="s">
        <v>30</v>
      </c>
      <c r="J84">
        <v>3</v>
      </c>
      <c r="K84">
        <v>165000</v>
      </c>
      <c r="L84">
        <v>0.1</v>
      </c>
      <c r="M84">
        <v>445500</v>
      </c>
      <c r="N84">
        <v>112000</v>
      </c>
      <c r="O84" t="s">
        <v>76</v>
      </c>
      <c r="P84" t="s">
        <v>54</v>
      </c>
    </row>
    <row r="85" spans="1:16" x14ac:dyDescent="0.35">
      <c r="A85">
        <v>100084</v>
      </c>
      <c r="B85" s="1">
        <v>46226</v>
      </c>
      <c r="C85" t="s">
        <v>32</v>
      </c>
      <c r="D85" t="s">
        <v>17</v>
      </c>
      <c r="E85" t="s">
        <v>43</v>
      </c>
      <c r="F85" t="s">
        <v>27</v>
      </c>
      <c r="G85" t="s">
        <v>38</v>
      </c>
      <c r="H85" t="s">
        <v>130</v>
      </c>
      <c r="I85" t="s">
        <v>22</v>
      </c>
      <c r="J85">
        <v>4</v>
      </c>
      <c r="K85">
        <v>26000</v>
      </c>
      <c r="L85">
        <v>0</v>
      </c>
      <c r="M85">
        <v>104000</v>
      </c>
      <c r="N85">
        <v>15000</v>
      </c>
      <c r="O85" t="s">
        <v>76</v>
      </c>
      <c r="P85" t="s">
        <v>31</v>
      </c>
    </row>
    <row r="86" spans="1:16" x14ac:dyDescent="0.35">
      <c r="A86">
        <v>100085</v>
      </c>
      <c r="B86" s="1">
        <v>46227</v>
      </c>
      <c r="C86" t="s">
        <v>55</v>
      </c>
      <c r="D86" t="s">
        <v>56</v>
      </c>
      <c r="E86" t="s">
        <v>18</v>
      </c>
      <c r="F86" t="s">
        <v>27</v>
      </c>
      <c r="G86" t="s">
        <v>38</v>
      </c>
      <c r="H86" t="s">
        <v>131</v>
      </c>
      <c r="I86" t="s">
        <v>30</v>
      </c>
      <c r="J86">
        <v>3</v>
      </c>
      <c r="K86">
        <v>26000</v>
      </c>
      <c r="L86">
        <v>0</v>
      </c>
      <c r="M86">
        <v>78000</v>
      </c>
      <c r="N86">
        <v>15000</v>
      </c>
      <c r="O86" t="s">
        <v>23</v>
      </c>
      <c r="P86" t="s">
        <v>84</v>
      </c>
    </row>
    <row r="87" spans="1:16" x14ac:dyDescent="0.35">
      <c r="A87">
        <v>100086</v>
      </c>
      <c r="B87" s="1">
        <v>46068</v>
      </c>
      <c r="C87" t="s">
        <v>35</v>
      </c>
      <c r="D87" t="s">
        <v>36</v>
      </c>
      <c r="E87" t="s">
        <v>37</v>
      </c>
      <c r="F87" t="s">
        <v>27</v>
      </c>
      <c r="G87" t="s">
        <v>33</v>
      </c>
      <c r="H87" t="s">
        <v>132</v>
      </c>
      <c r="I87" t="s">
        <v>30</v>
      </c>
      <c r="J87">
        <v>4</v>
      </c>
      <c r="K87">
        <v>32000</v>
      </c>
      <c r="L87">
        <v>0.1</v>
      </c>
      <c r="M87">
        <v>115200</v>
      </c>
      <c r="N87">
        <v>19000</v>
      </c>
      <c r="O87" t="s">
        <v>23</v>
      </c>
      <c r="P87" t="s">
        <v>54</v>
      </c>
    </row>
    <row r="88" spans="1:16" x14ac:dyDescent="0.35">
      <c r="A88">
        <v>100087</v>
      </c>
      <c r="B88" s="1">
        <v>46032</v>
      </c>
      <c r="C88" t="s">
        <v>32</v>
      </c>
      <c r="D88" t="s">
        <v>17</v>
      </c>
      <c r="E88" t="s">
        <v>18</v>
      </c>
      <c r="F88" t="s">
        <v>44</v>
      </c>
      <c r="G88" t="s">
        <v>65</v>
      </c>
      <c r="H88" t="s">
        <v>133</v>
      </c>
      <c r="I88" t="s">
        <v>30</v>
      </c>
      <c r="J88">
        <v>3</v>
      </c>
      <c r="K88">
        <v>28000</v>
      </c>
      <c r="L88">
        <v>0.15</v>
      </c>
      <c r="M88">
        <v>71400</v>
      </c>
      <c r="N88">
        <v>16000</v>
      </c>
      <c r="O88" t="s">
        <v>23</v>
      </c>
      <c r="P88" t="s">
        <v>54</v>
      </c>
    </row>
    <row r="89" spans="1:16" x14ac:dyDescent="0.35">
      <c r="A89">
        <v>100088</v>
      </c>
      <c r="B89" s="1">
        <v>46191</v>
      </c>
      <c r="C89" t="s">
        <v>35</v>
      </c>
      <c r="D89" t="s">
        <v>36</v>
      </c>
      <c r="E89" t="s">
        <v>18</v>
      </c>
      <c r="F89" t="s">
        <v>27</v>
      </c>
      <c r="G89" t="s">
        <v>33</v>
      </c>
      <c r="H89" t="s">
        <v>134</v>
      </c>
      <c r="I89" t="s">
        <v>30</v>
      </c>
      <c r="J89">
        <v>5</v>
      </c>
      <c r="K89">
        <v>32000</v>
      </c>
      <c r="L89">
        <v>0.05</v>
      </c>
      <c r="M89">
        <v>152000</v>
      </c>
      <c r="N89">
        <v>19000</v>
      </c>
      <c r="O89" t="s">
        <v>76</v>
      </c>
      <c r="P89" t="s">
        <v>24</v>
      </c>
    </row>
    <row r="90" spans="1:16" x14ac:dyDescent="0.35">
      <c r="A90">
        <v>100089</v>
      </c>
      <c r="B90" s="1">
        <v>46024</v>
      </c>
      <c r="C90" t="s">
        <v>35</v>
      </c>
      <c r="D90" t="s">
        <v>36</v>
      </c>
      <c r="E90" t="s">
        <v>43</v>
      </c>
      <c r="F90" t="s">
        <v>19</v>
      </c>
      <c r="G90" t="s">
        <v>52</v>
      </c>
      <c r="H90" t="s">
        <v>86</v>
      </c>
      <c r="I90" t="s">
        <v>30</v>
      </c>
      <c r="J90">
        <v>1</v>
      </c>
      <c r="K90">
        <v>42000</v>
      </c>
      <c r="L90">
        <v>0.05</v>
      </c>
      <c r="M90">
        <v>39900</v>
      </c>
      <c r="N90">
        <v>28000</v>
      </c>
      <c r="O90" t="s">
        <v>23</v>
      </c>
      <c r="P90" t="s">
        <v>47</v>
      </c>
    </row>
    <row r="91" spans="1:16" x14ac:dyDescent="0.35">
      <c r="A91">
        <v>100090</v>
      </c>
      <c r="B91" s="1">
        <v>46085</v>
      </c>
      <c r="C91" t="s">
        <v>35</v>
      </c>
      <c r="D91" t="s">
        <v>36</v>
      </c>
      <c r="E91" t="s">
        <v>37</v>
      </c>
      <c r="F91" t="s">
        <v>19</v>
      </c>
      <c r="G91" t="s">
        <v>52</v>
      </c>
      <c r="H91" t="s">
        <v>95</v>
      </c>
      <c r="I91" t="s">
        <v>30</v>
      </c>
      <c r="J91">
        <v>4</v>
      </c>
      <c r="K91">
        <v>42000</v>
      </c>
      <c r="L91">
        <v>0.05</v>
      </c>
      <c r="M91">
        <v>159600</v>
      </c>
      <c r="N91">
        <v>28000</v>
      </c>
      <c r="O91" t="s">
        <v>23</v>
      </c>
      <c r="P91" t="s">
        <v>31</v>
      </c>
    </row>
    <row r="92" spans="1:16" x14ac:dyDescent="0.35">
      <c r="A92">
        <v>100091</v>
      </c>
      <c r="B92" s="1">
        <v>46190</v>
      </c>
      <c r="C92" t="s">
        <v>55</v>
      </c>
      <c r="D92" t="s">
        <v>56</v>
      </c>
      <c r="E92" t="s">
        <v>37</v>
      </c>
      <c r="F92" t="s">
        <v>44</v>
      </c>
      <c r="G92" t="s">
        <v>60</v>
      </c>
      <c r="H92" t="s">
        <v>135</v>
      </c>
      <c r="I92" t="s">
        <v>22</v>
      </c>
      <c r="J92">
        <v>2</v>
      </c>
      <c r="K92">
        <v>9000</v>
      </c>
      <c r="L92">
        <v>0.1</v>
      </c>
      <c r="M92">
        <v>16200</v>
      </c>
      <c r="N92">
        <v>3500</v>
      </c>
      <c r="O92" t="s">
        <v>23</v>
      </c>
      <c r="P92" t="s">
        <v>40</v>
      </c>
    </row>
    <row r="93" spans="1:16" x14ac:dyDescent="0.35">
      <c r="A93">
        <v>100092</v>
      </c>
      <c r="B93" s="1">
        <v>46153</v>
      </c>
      <c r="C93" t="s">
        <v>55</v>
      </c>
      <c r="D93" t="s">
        <v>56</v>
      </c>
      <c r="E93" t="s">
        <v>43</v>
      </c>
      <c r="F93" t="s">
        <v>19</v>
      </c>
      <c r="G93" t="s">
        <v>52</v>
      </c>
      <c r="H93" t="s">
        <v>125</v>
      </c>
      <c r="I93" t="s">
        <v>30</v>
      </c>
      <c r="J93">
        <v>4</v>
      </c>
      <c r="K93">
        <v>42000</v>
      </c>
      <c r="L93">
        <v>0.1</v>
      </c>
      <c r="M93">
        <v>166320</v>
      </c>
      <c r="N93">
        <v>28000</v>
      </c>
      <c r="O93" t="s">
        <v>23</v>
      </c>
      <c r="P93" t="s">
        <v>47</v>
      </c>
    </row>
    <row r="94" spans="1:16" x14ac:dyDescent="0.35">
      <c r="A94">
        <v>100093</v>
      </c>
      <c r="B94" s="1">
        <v>46139</v>
      </c>
      <c r="C94" t="s">
        <v>32</v>
      </c>
      <c r="D94" t="s">
        <v>17</v>
      </c>
      <c r="E94" t="s">
        <v>43</v>
      </c>
      <c r="F94" t="s">
        <v>44</v>
      </c>
      <c r="G94" t="s">
        <v>60</v>
      </c>
      <c r="H94" t="s">
        <v>136</v>
      </c>
      <c r="I94" t="s">
        <v>30</v>
      </c>
      <c r="J94">
        <v>5</v>
      </c>
      <c r="K94">
        <v>9000</v>
      </c>
      <c r="L94">
        <v>0.2</v>
      </c>
      <c r="M94">
        <v>36000</v>
      </c>
      <c r="O94" t="s">
        <v>23</v>
      </c>
      <c r="P94" t="s">
        <v>54</v>
      </c>
    </row>
    <row r="95" spans="1:16" x14ac:dyDescent="0.35">
      <c r="A95">
        <v>100094</v>
      </c>
      <c r="B95" s="1">
        <v>46223</v>
      </c>
      <c r="C95" t="s">
        <v>42</v>
      </c>
      <c r="D95" t="s">
        <v>26</v>
      </c>
      <c r="E95" t="s">
        <v>43</v>
      </c>
      <c r="F95" t="s">
        <v>19</v>
      </c>
      <c r="G95" t="s">
        <v>52</v>
      </c>
      <c r="H95" t="s">
        <v>89</v>
      </c>
      <c r="I95" t="s">
        <v>30</v>
      </c>
      <c r="J95">
        <v>4</v>
      </c>
      <c r="K95">
        <v>42000</v>
      </c>
      <c r="L95">
        <v>0.05</v>
      </c>
      <c r="M95">
        <v>127680</v>
      </c>
      <c r="N95">
        <v>28000</v>
      </c>
      <c r="O95" t="s">
        <v>23</v>
      </c>
      <c r="P95" t="s">
        <v>54</v>
      </c>
    </row>
    <row r="96" spans="1:16" x14ac:dyDescent="0.35">
      <c r="A96">
        <v>100095</v>
      </c>
      <c r="B96" s="1">
        <v>46148</v>
      </c>
      <c r="C96" t="s">
        <v>25</v>
      </c>
      <c r="D96" t="s">
        <v>26</v>
      </c>
      <c r="E96" t="s">
        <v>37</v>
      </c>
      <c r="F96" t="s">
        <v>44</v>
      </c>
      <c r="G96" t="s">
        <v>60</v>
      </c>
      <c r="H96" t="s">
        <v>137</v>
      </c>
      <c r="I96" t="s">
        <v>22</v>
      </c>
      <c r="J96">
        <v>1</v>
      </c>
      <c r="K96">
        <v>9000</v>
      </c>
      <c r="L96">
        <v>0.05</v>
      </c>
      <c r="M96">
        <v>8550</v>
      </c>
      <c r="N96">
        <v>3500</v>
      </c>
      <c r="O96" t="s">
        <v>23</v>
      </c>
      <c r="P96" t="s">
        <v>84</v>
      </c>
    </row>
    <row r="97" spans="1:16" x14ac:dyDescent="0.35">
      <c r="A97">
        <v>100096</v>
      </c>
      <c r="B97" s="1">
        <v>46049</v>
      </c>
      <c r="C97" t="s">
        <v>16</v>
      </c>
      <c r="D97" t="s">
        <v>17</v>
      </c>
      <c r="E97" t="s">
        <v>37</v>
      </c>
      <c r="F97" t="s">
        <v>27</v>
      </c>
      <c r="G97" t="s">
        <v>38</v>
      </c>
      <c r="H97" t="s">
        <v>138</v>
      </c>
      <c r="I97" t="s">
        <v>30</v>
      </c>
      <c r="J97">
        <v>3</v>
      </c>
      <c r="K97">
        <v>26000</v>
      </c>
      <c r="L97">
        <v>0</v>
      </c>
      <c r="M97">
        <v>78000</v>
      </c>
      <c r="O97" t="s">
        <v>23</v>
      </c>
      <c r="P97" t="s">
        <v>58</v>
      </c>
    </row>
    <row r="98" spans="1:16" x14ac:dyDescent="0.35">
      <c r="A98">
        <v>100097</v>
      </c>
      <c r="B98" s="1">
        <v>46122</v>
      </c>
      <c r="C98" t="s">
        <v>55</v>
      </c>
      <c r="D98" t="s">
        <v>56</v>
      </c>
      <c r="E98" t="s">
        <v>43</v>
      </c>
      <c r="F98" t="s">
        <v>27</v>
      </c>
      <c r="G98" t="s">
        <v>38</v>
      </c>
      <c r="H98" t="s">
        <v>69</v>
      </c>
      <c r="I98" t="s">
        <v>30</v>
      </c>
      <c r="J98">
        <v>4</v>
      </c>
      <c r="K98">
        <v>26000</v>
      </c>
      <c r="L98">
        <v>0</v>
      </c>
      <c r="M98">
        <v>104000</v>
      </c>
      <c r="N98">
        <v>15000</v>
      </c>
      <c r="O98" t="s">
        <v>23</v>
      </c>
      <c r="P98" t="s">
        <v>47</v>
      </c>
    </row>
    <row r="99" spans="1:16" x14ac:dyDescent="0.35">
      <c r="A99">
        <v>100098</v>
      </c>
      <c r="B99" s="1">
        <v>46074</v>
      </c>
      <c r="C99" t="s">
        <v>25</v>
      </c>
      <c r="D99" t="s">
        <v>26</v>
      </c>
      <c r="E99" t="s">
        <v>37</v>
      </c>
      <c r="F99" t="s">
        <v>19</v>
      </c>
      <c r="G99" t="s">
        <v>52</v>
      </c>
      <c r="H99" t="s">
        <v>82</v>
      </c>
      <c r="I99" t="s">
        <v>22</v>
      </c>
      <c r="J99">
        <v>1</v>
      </c>
      <c r="K99">
        <v>42000</v>
      </c>
      <c r="L99">
        <v>0.05</v>
      </c>
      <c r="M99">
        <v>39900</v>
      </c>
      <c r="N99">
        <v>28000</v>
      </c>
      <c r="O99" t="s">
        <v>23</v>
      </c>
      <c r="P99" t="s">
        <v>54</v>
      </c>
    </row>
    <row r="100" spans="1:16" x14ac:dyDescent="0.35">
      <c r="A100">
        <v>100099</v>
      </c>
      <c r="B100" s="1">
        <v>46089</v>
      </c>
      <c r="C100" t="s">
        <v>25</v>
      </c>
      <c r="D100" t="s">
        <v>26</v>
      </c>
      <c r="E100" t="s">
        <v>43</v>
      </c>
      <c r="F100" t="s">
        <v>27</v>
      </c>
      <c r="G100" t="s">
        <v>33</v>
      </c>
      <c r="H100" t="s">
        <v>53</v>
      </c>
      <c r="I100" t="s">
        <v>22</v>
      </c>
      <c r="J100">
        <v>2</v>
      </c>
      <c r="K100">
        <v>32000</v>
      </c>
      <c r="L100">
        <v>0</v>
      </c>
      <c r="M100">
        <v>64000</v>
      </c>
      <c r="N100">
        <v>19000</v>
      </c>
      <c r="O100" t="s">
        <v>23</v>
      </c>
      <c r="P100" t="s">
        <v>54</v>
      </c>
    </row>
    <row r="101" spans="1:16" x14ac:dyDescent="0.35">
      <c r="A101">
        <v>100100</v>
      </c>
      <c r="B101" s="1">
        <v>46086</v>
      </c>
      <c r="C101" t="s">
        <v>42</v>
      </c>
      <c r="D101" t="s">
        <v>26</v>
      </c>
      <c r="E101" t="s">
        <v>43</v>
      </c>
      <c r="F101" t="s">
        <v>27</v>
      </c>
      <c r="G101" t="s">
        <v>33</v>
      </c>
      <c r="H101" t="s">
        <v>87</v>
      </c>
      <c r="I101" t="s">
        <v>22</v>
      </c>
      <c r="J101">
        <v>3</v>
      </c>
      <c r="K101">
        <v>32000</v>
      </c>
      <c r="L101">
        <v>0.05</v>
      </c>
      <c r="M101">
        <v>91200</v>
      </c>
      <c r="N101">
        <v>19000</v>
      </c>
      <c r="O101" t="s">
        <v>23</v>
      </c>
      <c r="P101" t="s">
        <v>64</v>
      </c>
    </row>
    <row r="102" spans="1:16" x14ac:dyDescent="0.35">
      <c r="A102">
        <v>100101</v>
      </c>
      <c r="B102" s="1">
        <v>46213</v>
      </c>
      <c r="C102" t="s">
        <v>16</v>
      </c>
      <c r="D102" t="s">
        <v>17</v>
      </c>
      <c r="E102" t="s">
        <v>43</v>
      </c>
      <c r="F102" t="s">
        <v>44</v>
      </c>
      <c r="G102" t="s">
        <v>60</v>
      </c>
      <c r="H102" t="s">
        <v>139</v>
      </c>
      <c r="I102" t="s">
        <v>30</v>
      </c>
      <c r="J102">
        <v>5</v>
      </c>
      <c r="K102">
        <v>9000</v>
      </c>
      <c r="L102">
        <v>0.05</v>
      </c>
      <c r="M102">
        <v>42750</v>
      </c>
      <c r="N102">
        <v>3500</v>
      </c>
      <c r="O102" t="s">
        <v>23</v>
      </c>
      <c r="P102" t="s">
        <v>24</v>
      </c>
    </row>
    <row r="103" spans="1:16" x14ac:dyDescent="0.35">
      <c r="A103">
        <v>100102</v>
      </c>
      <c r="B103" s="1">
        <v>46199</v>
      </c>
      <c r="C103" t="s">
        <v>42</v>
      </c>
      <c r="D103" t="s">
        <v>26</v>
      </c>
      <c r="E103" t="s">
        <v>18</v>
      </c>
      <c r="F103" t="s">
        <v>19</v>
      </c>
      <c r="G103" t="s">
        <v>62</v>
      </c>
      <c r="H103" t="s">
        <v>140</v>
      </c>
      <c r="I103" t="s">
        <v>30</v>
      </c>
      <c r="J103">
        <v>2</v>
      </c>
      <c r="K103">
        <v>24000</v>
      </c>
      <c r="L103">
        <v>0</v>
      </c>
      <c r="M103">
        <v>48000</v>
      </c>
      <c r="N103">
        <v>15000</v>
      </c>
      <c r="O103" t="s">
        <v>23</v>
      </c>
      <c r="P103" t="s">
        <v>64</v>
      </c>
    </row>
    <row r="104" spans="1:16" x14ac:dyDescent="0.35">
      <c r="A104">
        <v>100103</v>
      </c>
      <c r="B104" s="1">
        <v>46193</v>
      </c>
      <c r="C104" t="s">
        <v>32</v>
      </c>
      <c r="D104" t="s">
        <v>17</v>
      </c>
      <c r="E104" t="s">
        <v>37</v>
      </c>
      <c r="F104" t="s">
        <v>27</v>
      </c>
      <c r="G104" t="s">
        <v>28</v>
      </c>
      <c r="H104" t="s">
        <v>141</v>
      </c>
      <c r="I104" t="s">
        <v>22</v>
      </c>
      <c r="J104">
        <v>1</v>
      </c>
      <c r="K104">
        <v>165000</v>
      </c>
      <c r="L104">
        <v>0</v>
      </c>
      <c r="M104">
        <v>165000</v>
      </c>
      <c r="N104">
        <v>112000</v>
      </c>
      <c r="O104" t="s">
        <v>76</v>
      </c>
      <c r="P104" t="s">
        <v>47</v>
      </c>
    </row>
    <row r="105" spans="1:16" x14ac:dyDescent="0.35">
      <c r="A105">
        <v>100104</v>
      </c>
      <c r="B105" s="1">
        <v>46066</v>
      </c>
      <c r="C105" t="s">
        <v>25</v>
      </c>
      <c r="D105" t="s">
        <v>26</v>
      </c>
      <c r="E105" t="s">
        <v>43</v>
      </c>
      <c r="F105" t="s">
        <v>27</v>
      </c>
      <c r="G105" t="s">
        <v>28</v>
      </c>
      <c r="H105" t="s">
        <v>142</v>
      </c>
      <c r="I105" t="s">
        <v>22</v>
      </c>
      <c r="J105">
        <v>3</v>
      </c>
      <c r="K105">
        <v>165000</v>
      </c>
      <c r="L105">
        <v>0</v>
      </c>
      <c r="M105">
        <v>495000</v>
      </c>
      <c r="N105">
        <v>112000</v>
      </c>
      <c r="O105" t="s">
        <v>23</v>
      </c>
      <c r="P105" t="s">
        <v>40</v>
      </c>
    </row>
    <row r="106" spans="1:16" x14ac:dyDescent="0.35">
      <c r="A106">
        <v>100105</v>
      </c>
      <c r="B106" s="1">
        <v>46177</v>
      </c>
      <c r="C106" t="s">
        <v>50</v>
      </c>
      <c r="D106" t="s">
        <v>51</v>
      </c>
      <c r="E106" t="s">
        <v>18</v>
      </c>
      <c r="F106" t="s">
        <v>19</v>
      </c>
      <c r="G106" t="s">
        <v>20</v>
      </c>
      <c r="H106" t="s">
        <v>143</v>
      </c>
      <c r="I106" t="s">
        <v>22</v>
      </c>
      <c r="J106">
        <v>2</v>
      </c>
      <c r="K106">
        <v>58000</v>
      </c>
      <c r="L106">
        <v>0</v>
      </c>
      <c r="M106">
        <v>116000</v>
      </c>
      <c r="N106">
        <v>39000</v>
      </c>
      <c r="O106" t="s">
        <v>23</v>
      </c>
      <c r="P106" t="s">
        <v>58</v>
      </c>
    </row>
    <row r="107" spans="1:16" x14ac:dyDescent="0.35">
      <c r="A107">
        <v>100106</v>
      </c>
      <c r="B107" s="1">
        <v>46082</v>
      </c>
      <c r="C107" t="s">
        <v>50</v>
      </c>
      <c r="D107" t="s">
        <v>51</v>
      </c>
      <c r="E107" t="s">
        <v>43</v>
      </c>
      <c r="F107" t="s">
        <v>19</v>
      </c>
      <c r="G107" t="s">
        <v>52</v>
      </c>
      <c r="H107" t="s">
        <v>144</v>
      </c>
      <c r="I107" t="s">
        <v>30</v>
      </c>
      <c r="J107">
        <v>5</v>
      </c>
      <c r="K107">
        <v>42000</v>
      </c>
      <c r="L107">
        <v>0.05</v>
      </c>
      <c r="M107">
        <v>199500</v>
      </c>
      <c r="N107">
        <v>28000</v>
      </c>
      <c r="O107" t="s">
        <v>23</v>
      </c>
      <c r="P107" t="s">
        <v>31</v>
      </c>
    </row>
    <row r="108" spans="1:16" x14ac:dyDescent="0.35">
      <c r="A108">
        <v>100107</v>
      </c>
      <c r="B108" s="1">
        <v>46049</v>
      </c>
      <c r="C108" t="s">
        <v>55</v>
      </c>
      <c r="D108" t="s">
        <v>56</v>
      </c>
      <c r="E108" t="s">
        <v>43</v>
      </c>
      <c r="F108" t="s">
        <v>19</v>
      </c>
      <c r="G108" t="s">
        <v>20</v>
      </c>
      <c r="H108" t="s">
        <v>39</v>
      </c>
      <c r="I108" t="s">
        <v>30</v>
      </c>
      <c r="J108">
        <v>1</v>
      </c>
      <c r="K108">
        <v>58000</v>
      </c>
      <c r="L108">
        <v>0.1</v>
      </c>
      <c r="M108">
        <v>52200</v>
      </c>
      <c r="N108">
        <v>39000</v>
      </c>
      <c r="O108" t="s">
        <v>23</v>
      </c>
      <c r="P108" t="s">
        <v>84</v>
      </c>
    </row>
    <row r="109" spans="1:16" x14ac:dyDescent="0.35">
      <c r="A109">
        <v>100108</v>
      </c>
      <c r="B109" s="1">
        <v>46164</v>
      </c>
      <c r="C109" t="s">
        <v>16</v>
      </c>
      <c r="D109" t="s">
        <v>17</v>
      </c>
      <c r="E109" t="s">
        <v>43</v>
      </c>
      <c r="F109" t="s">
        <v>44</v>
      </c>
      <c r="G109" t="s">
        <v>45</v>
      </c>
      <c r="H109" t="s">
        <v>145</v>
      </c>
      <c r="I109" t="s">
        <v>30</v>
      </c>
      <c r="J109">
        <v>1</v>
      </c>
      <c r="K109">
        <v>6500</v>
      </c>
      <c r="L109">
        <v>0.15</v>
      </c>
      <c r="M109">
        <v>5525</v>
      </c>
      <c r="N109">
        <v>2200</v>
      </c>
      <c r="O109" t="s">
        <v>23</v>
      </c>
      <c r="P109" t="s">
        <v>58</v>
      </c>
    </row>
    <row r="110" spans="1:16" x14ac:dyDescent="0.35">
      <c r="A110">
        <v>100109</v>
      </c>
      <c r="B110" s="1">
        <v>46234</v>
      </c>
      <c r="C110" t="s">
        <v>16</v>
      </c>
      <c r="D110" t="s">
        <v>17</v>
      </c>
      <c r="E110" t="s">
        <v>18</v>
      </c>
      <c r="F110" t="s">
        <v>44</v>
      </c>
      <c r="G110" t="s">
        <v>60</v>
      </c>
      <c r="H110" t="s">
        <v>146</v>
      </c>
      <c r="I110" t="s">
        <v>30</v>
      </c>
      <c r="J110">
        <v>2</v>
      </c>
      <c r="K110">
        <v>9000</v>
      </c>
      <c r="L110">
        <v>0.15</v>
      </c>
      <c r="M110">
        <v>15300</v>
      </c>
      <c r="N110">
        <v>3500</v>
      </c>
      <c r="O110" t="s">
        <v>23</v>
      </c>
      <c r="P110" t="s">
        <v>54</v>
      </c>
    </row>
    <row r="111" spans="1:16" x14ac:dyDescent="0.35">
      <c r="A111">
        <v>100110</v>
      </c>
      <c r="B111" s="1">
        <v>46216</v>
      </c>
      <c r="C111" t="s">
        <v>42</v>
      </c>
      <c r="D111" t="s">
        <v>26</v>
      </c>
      <c r="E111" t="s">
        <v>43</v>
      </c>
      <c r="F111" t="s">
        <v>19</v>
      </c>
      <c r="G111" t="s">
        <v>52</v>
      </c>
      <c r="H111" t="s">
        <v>127</v>
      </c>
      <c r="I111" t="s">
        <v>22</v>
      </c>
      <c r="J111">
        <v>1</v>
      </c>
      <c r="K111">
        <v>42000</v>
      </c>
      <c r="L111">
        <v>0</v>
      </c>
      <c r="M111">
        <v>42000</v>
      </c>
      <c r="N111">
        <v>28000</v>
      </c>
      <c r="O111" t="s">
        <v>23</v>
      </c>
      <c r="P111" t="s">
        <v>58</v>
      </c>
    </row>
    <row r="112" spans="1:16" x14ac:dyDescent="0.35">
      <c r="A112">
        <v>100111</v>
      </c>
      <c r="B112" s="1">
        <v>46234</v>
      </c>
      <c r="C112" t="s">
        <v>42</v>
      </c>
      <c r="D112" t="s">
        <v>26</v>
      </c>
      <c r="E112" t="s">
        <v>43</v>
      </c>
      <c r="F112" t="s">
        <v>44</v>
      </c>
      <c r="G112" t="s">
        <v>65</v>
      </c>
      <c r="H112" t="s">
        <v>147</v>
      </c>
      <c r="I112" t="s">
        <v>30</v>
      </c>
      <c r="J112">
        <v>1</v>
      </c>
      <c r="K112">
        <v>28000</v>
      </c>
      <c r="L112">
        <v>0.05</v>
      </c>
      <c r="M112">
        <v>26600</v>
      </c>
      <c r="N112">
        <v>16000</v>
      </c>
      <c r="O112" t="s">
        <v>23</v>
      </c>
      <c r="P112" t="s">
        <v>54</v>
      </c>
    </row>
    <row r="113" spans="1:16" x14ac:dyDescent="0.35">
      <c r="A113">
        <v>100112</v>
      </c>
      <c r="B113" s="1">
        <v>46048</v>
      </c>
      <c r="C113" t="s">
        <v>35</v>
      </c>
      <c r="D113" t="s">
        <v>36</v>
      </c>
      <c r="E113" t="s">
        <v>43</v>
      </c>
      <c r="F113" t="s">
        <v>27</v>
      </c>
      <c r="G113" t="s">
        <v>38</v>
      </c>
      <c r="H113" t="s">
        <v>148</v>
      </c>
      <c r="I113" t="s">
        <v>22</v>
      </c>
      <c r="J113">
        <v>2</v>
      </c>
      <c r="K113">
        <v>26000</v>
      </c>
      <c r="L113">
        <v>0.1</v>
      </c>
      <c r="M113">
        <v>46800</v>
      </c>
      <c r="N113">
        <v>15000</v>
      </c>
      <c r="O113" t="s">
        <v>23</v>
      </c>
      <c r="P113" t="s">
        <v>24</v>
      </c>
    </row>
    <row r="114" spans="1:16" x14ac:dyDescent="0.35">
      <c r="A114">
        <v>100113</v>
      </c>
      <c r="B114" s="1">
        <v>46065</v>
      </c>
      <c r="C114" t="s">
        <v>16</v>
      </c>
      <c r="D114" t="s">
        <v>17</v>
      </c>
      <c r="E114" t="s">
        <v>43</v>
      </c>
      <c r="F114" t="s">
        <v>19</v>
      </c>
      <c r="G114" t="s">
        <v>20</v>
      </c>
      <c r="H114" t="s">
        <v>112</v>
      </c>
      <c r="I114" t="s">
        <v>22</v>
      </c>
      <c r="J114">
        <v>3</v>
      </c>
      <c r="K114">
        <v>58000</v>
      </c>
      <c r="L114">
        <v>0.05</v>
      </c>
      <c r="M114">
        <v>165300</v>
      </c>
      <c r="N114">
        <v>39000</v>
      </c>
      <c r="O114" t="s">
        <v>23</v>
      </c>
      <c r="P114" t="s">
        <v>31</v>
      </c>
    </row>
    <row r="115" spans="1:16" x14ac:dyDescent="0.35">
      <c r="A115">
        <v>100114</v>
      </c>
      <c r="B115" s="1">
        <v>46194</v>
      </c>
      <c r="C115" t="s">
        <v>32</v>
      </c>
      <c r="D115" t="s">
        <v>17</v>
      </c>
      <c r="E115" t="s">
        <v>37</v>
      </c>
      <c r="F115" t="s">
        <v>44</v>
      </c>
      <c r="G115" t="s">
        <v>45</v>
      </c>
      <c r="H115" t="s">
        <v>91</v>
      </c>
      <c r="I115" t="s">
        <v>30</v>
      </c>
      <c r="J115">
        <v>2</v>
      </c>
      <c r="K115">
        <v>6500</v>
      </c>
      <c r="L115">
        <v>0.25</v>
      </c>
      <c r="M115">
        <v>9750</v>
      </c>
      <c r="N115">
        <v>2200</v>
      </c>
      <c r="O115" t="s">
        <v>23</v>
      </c>
      <c r="P115" t="s">
        <v>24</v>
      </c>
    </row>
    <row r="116" spans="1:16" x14ac:dyDescent="0.35">
      <c r="A116">
        <v>100115</v>
      </c>
      <c r="B116" s="1">
        <v>46112</v>
      </c>
      <c r="C116" t="s">
        <v>42</v>
      </c>
      <c r="D116" t="s">
        <v>26</v>
      </c>
      <c r="E116" t="s">
        <v>37</v>
      </c>
      <c r="F116" t="s">
        <v>27</v>
      </c>
      <c r="G116" t="s">
        <v>38</v>
      </c>
      <c r="H116" t="s">
        <v>149</v>
      </c>
      <c r="I116" t="s">
        <v>22</v>
      </c>
      <c r="J116">
        <v>2</v>
      </c>
      <c r="K116">
        <v>26000</v>
      </c>
      <c r="L116">
        <v>0.1</v>
      </c>
      <c r="M116">
        <v>46800</v>
      </c>
      <c r="N116">
        <v>15000</v>
      </c>
      <c r="O116" t="s">
        <v>23</v>
      </c>
      <c r="P116" t="s">
        <v>84</v>
      </c>
    </row>
    <row r="117" spans="1:16" x14ac:dyDescent="0.35">
      <c r="A117">
        <v>100116</v>
      </c>
      <c r="B117" s="1">
        <v>46056</v>
      </c>
      <c r="C117" t="s">
        <v>55</v>
      </c>
      <c r="D117" t="s">
        <v>56</v>
      </c>
      <c r="E117" t="s">
        <v>43</v>
      </c>
      <c r="F117" t="s">
        <v>150</v>
      </c>
      <c r="G117" t="s">
        <v>65</v>
      </c>
      <c r="H117" t="s">
        <v>107</v>
      </c>
      <c r="I117" t="s">
        <v>30</v>
      </c>
      <c r="J117">
        <v>5</v>
      </c>
      <c r="K117">
        <v>28000</v>
      </c>
      <c r="L117">
        <v>0</v>
      </c>
      <c r="M117">
        <v>140000</v>
      </c>
      <c r="N117">
        <v>16000</v>
      </c>
      <c r="O117" t="s">
        <v>23</v>
      </c>
      <c r="P117" t="s">
        <v>31</v>
      </c>
    </row>
    <row r="118" spans="1:16" x14ac:dyDescent="0.35">
      <c r="A118">
        <v>100117</v>
      </c>
      <c r="B118" s="1">
        <v>46122</v>
      </c>
      <c r="C118" t="s">
        <v>42</v>
      </c>
      <c r="D118" t="s">
        <v>26</v>
      </c>
      <c r="E118" t="s">
        <v>43</v>
      </c>
      <c r="F118" t="s">
        <v>44</v>
      </c>
      <c r="G118" t="s">
        <v>60</v>
      </c>
      <c r="H118" t="s">
        <v>113</v>
      </c>
      <c r="I118" t="s">
        <v>22</v>
      </c>
      <c r="J118">
        <v>4</v>
      </c>
      <c r="K118">
        <v>9000</v>
      </c>
      <c r="L118">
        <v>0</v>
      </c>
      <c r="M118">
        <v>36000</v>
      </c>
      <c r="N118">
        <v>3500</v>
      </c>
      <c r="O118" t="s">
        <v>23</v>
      </c>
      <c r="P118" t="s">
        <v>64</v>
      </c>
    </row>
    <row r="119" spans="1:16" x14ac:dyDescent="0.35">
      <c r="A119">
        <v>100118</v>
      </c>
      <c r="B119" s="1">
        <v>46260</v>
      </c>
      <c r="C119" t="s">
        <v>50</v>
      </c>
      <c r="D119" t="s">
        <v>51</v>
      </c>
      <c r="E119" t="s">
        <v>18</v>
      </c>
      <c r="F119" t="s">
        <v>27</v>
      </c>
      <c r="G119" t="s">
        <v>38</v>
      </c>
      <c r="H119" t="s">
        <v>87</v>
      </c>
      <c r="I119" t="s">
        <v>22</v>
      </c>
      <c r="J119">
        <v>3</v>
      </c>
      <c r="K119">
        <v>26000</v>
      </c>
      <c r="L119">
        <v>0</v>
      </c>
      <c r="M119">
        <v>78000</v>
      </c>
      <c r="N119">
        <v>15000</v>
      </c>
      <c r="O119" t="s">
        <v>23</v>
      </c>
      <c r="P119" t="s">
        <v>58</v>
      </c>
    </row>
    <row r="120" spans="1:16" x14ac:dyDescent="0.35">
      <c r="A120">
        <v>100119</v>
      </c>
      <c r="B120" s="1">
        <v>46201</v>
      </c>
      <c r="C120" t="s">
        <v>42</v>
      </c>
      <c r="D120" t="s">
        <v>26</v>
      </c>
      <c r="E120" t="s">
        <v>18</v>
      </c>
      <c r="F120" t="s">
        <v>44</v>
      </c>
      <c r="G120" t="s">
        <v>60</v>
      </c>
      <c r="H120" t="s">
        <v>59</v>
      </c>
      <c r="I120" t="s">
        <v>30</v>
      </c>
      <c r="J120">
        <v>4</v>
      </c>
      <c r="K120">
        <v>9000</v>
      </c>
      <c r="L120">
        <v>0</v>
      </c>
      <c r="M120">
        <v>36000</v>
      </c>
      <c r="N120">
        <v>3500</v>
      </c>
      <c r="O120" t="s">
        <v>23</v>
      </c>
      <c r="P120" t="s">
        <v>54</v>
      </c>
    </row>
    <row r="121" spans="1:16" x14ac:dyDescent="0.35">
      <c r="A121">
        <v>100120</v>
      </c>
      <c r="B121" s="1">
        <v>46048</v>
      </c>
      <c r="C121" t="s">
        <v>25</v>
      </c>
      <c r="D121" t="s">
        <v>26</v>
      </c>
      <c r="E121" t="s">
        <v>43</v>
      </c>
      <c r="F121" t="s">
        <v>27</v>
      </c>
      <c r="G121" t="s">
        <v>28</v>
      </c>
      <c r="H121" t="s">
        <v>151</v>
      </c>
      <c r="I121" t="s">
        <v>30</v>
      </c>
      <c r="J121">
        <v>1</v>
      </c>
      <c r="K121">
        <v>165000</v>
      </c>
      <c r="L121">
        <v>0</v>
      </c>
      <c r="M121">
        <v>165000</v>
      </c>
      <c r="N121">
        <v>112000</v>
      </c>
      <c r="O121" t="s">
        <v>76</v>
      </c>
      <c r="P121" t="s">
        <v>58</v>
      </c>
    </row>
    <row r="122" spans="1:16" x14ac:dyDescent="0.35">
      <c r="A122">
        <v>100121</v>
      </c>
      <c r="B122" s="1">
        <v>46248</v>
      </c>
      <c r="C122" t="s">
        <v>50</v>
      </c>
      <c r="D122" t="s">
        <v>51</v>
      </c>
      <c r="E122" t="s">
        <v>43</v>
      </c>
      <c r="F122" t="s">
        <v>44</v>
      </c>
      <c r="G122" t="s">
        <v>60</v>
      </c>
      <c r="H122" t="s">
        <v>152</v>
      </c>
      <c r="I122" t="s">
        <v>22</v>
      </c>
      <c r="J122">
        <v>4</v>
      </c>
      <c r="K122">
        <v>9000</v>
      </c>
      <c r="L122">
        <v>0</v>
      </c>
      <c r="M122">
        <v>32400</v>
      </c>
      <c r="N122">
        <v>3500</v>
      </c>
      <c r="O122" t="s">
        <v>23</v>
      </c>
      <c r="P122" t="s">
        <v>47</v>
      </c>
    </row>
    <row r="123" spans="1:16" x14ac:dyDescent="0.35">
      <c r="A123">
        <v>100122</v>
      </c>
      <c r="B123" s="1">
        <v>46226</v>
      </c>
      <c r="C123" t="s">
        <v>55</v>
      </c>
      <c r="D123" t="s">
        <v>56</v>
      </c>
      <c r="E123" t="s">
        <v>43</v>
      </c>
      <c r="F123" t="s">
        <v>19</v>
      </c>
      <c r="G123" t="s">
        <v>62</v>
      </c>
      <c r="H123" t="s">
        <v>81</v>
      </c>
      <c r="I123" t="s">
        <v>22</v>
      </c>
      <c r="J123">
        <v>3</v>
      </c>
      <c r="K123">
        <v>24000</v>
      </c>
      <c r="L123">
        <v>0</v>
      </c>
      <c r="M123">
        <v>72000</v>
      </c>
      <c r="N123">
        <v>15000</v>
      </c>
      <c r="O123" t="s">
        <v>23</v>
      </c>
      <c r="P123" t="s">
        <v>64</v>
      </c>
    </row>
    <row r="124" spans="1:16" x14ac:dyDescent="0.35">
      <c r="A124">
        <v>100123</v>
      </c>
      <c r="B124" s="1">
        <v>46172</v>
      </c>
      <c r="C124" t="s">
        <v>32</v>
      </c>
      <c r="D124" t="s">
        <v>17</v>
      </c>
      <c r="E124" t="s">
        <v>43</v>
      </c>
      <c r="F124" t="s">
        <v>27</v>
      </c>
      <c r="G124" t="s">
        <v>33</v>
      </c>
      <c r="H124" t="s">
        <v>131</v>
      </c>
      <c r="I124" t="s">
        <v>30</v>
      </c>
      <c r="J124">
        <v>4</v>
      </c>
      <c r="K124">
        <v>32000</v>
      </c>
      <c r="L124">
        <v>0.1</v>
      </c>
      <c r="M124">
        <v>115200</v>
      </c>
      <c r="N124">
        <v>19000</v>
      </c>
      <c r="O124" t="s">
        <v>23</v>
      </c>
      <c r="P124" t="s">
        <v>54</v>
      </c>
    </row>
    <row r="125" spans="1:16" x14ac:dyDescent="0.35">
      <c r="A125">
        <v>100124</v>
      </c>
      <c r="B125" s="1">
        <v>46227</v>
      </c>
      <c r="C125" t="s">
        <v>35</v>
      </c>
      <c r="D125" t="s">
        <v>36</v>
      </c>
      <c r="E125" t="s">
        <v>37</v>
      </c>
      <c r="F125" t="s">
        <v>27</v>
      </c>
      <c r="G125" t="s">
        <v>33</v>
      </c>
      <c r="H125" t="s">
        <v>101</v>
      </c>
      <c r="I125" t="s">
        <v>30</v>
      </c>
      <c r="J125">
        <v>3</v>
      </c>
      <c r="K125">
        <v>32000</v>
      </c>
      <c r="L125">
        <v>0.15</v>
      </c>
      <c r="M125">
        <v>81600</v>
      </c>
      <c r="N125">
        <v>19000</v>
      </c>
      <c r="O125" t="s">
        <v>23</v>
      </c>
      <c r="P125" t="s">
        <v>58</v>
      </c>
    </row>
    <row r="126" spans="1:16" x14ac:dyDescent="0.35">
      <c r="A126">
        <v>100125</v>
      </c>
      <c r="B126" s="1">
        <v>46081</v>
      </c>
      <c r="C126" t="s">
        <v>55</v>
      </c>
      <c r="D126" t="s">
        <v>56</v>
      </c>
      <c r="E126" t="s">
        <v>43</v>
      </c>
      <c r="F126" t="s">
        <v>27</v>
      </c>
      <c r="G126" t="s">
        <v>33</v>
      </c>
      <c r="H126" t="s">
        <v>73</v>
      </c>
      <c r="I126" t="s">
        <v>30</v>
      </c>
      <c r="J126">
        <v>3</v>
      </c>
      <c r="K126">
        <v>32000</v>
      </c>
      <c r="L126">
        <v>0.15</v>
      </c>
      <c r="M126">
        <v>81600</v>
      </c>
      <c r="N126">
        <v>19000</v>
      </c>
      <c r="O126" t="s">
        <v>23</v>
      </c>
      <c r="P126" t="s">
        <v>24</v>
      </c>
    </row>
    <row r="127" spans="1:16" x14ac:dyDescent="0.35">
      <c r="A127">
        <v>100126</v>
      </c>
      <c r="B127" s="1">
        <v>46221</v>
      </c>
      <c r="C127" t="s">
        <v>16</v>
      </c>
      <c r="D127" t="s">
        <v>17</v>
      </c>
      <c r="E127" t="s">
        <v>18</v>
      </c>
      <c r="F127" t="s">
        <v>27</v>
      </c>
      <c r="G127" t="s">
        <v>28</v>
      </c>
      <c r="H127" t="s">
        <v>74</v>
      </c>
      <c r="I127" t="s">
        <v>30</v>
      </c>
      <c r="J127">
        <v>2</v>
      </c>
      <c r="K127">
        <v>165000</v>
      </c>
      <c r="L127">
        <v>0.25</v>
      </c>
      <c r="M127">
        <v>247500</v>
      </c>
      <c r="N127">
        <v>112000</v>
      </c>
      <c r="O127" t="s">
        <v>23</v>
      </c>
      <c r="P127" t="s">
        <v>64</v>
      </c>
    </row>
    <row r="128" spans="1:16" x14ac:dyDescent="0.35">
      <c r="A128">
        <v>100127</v>
      </c>
      <c r="B128" s="1">
        <v>46032</v>
      </c>
      <c r="C128" t="s">
        <v>32</v>
      </c>
      <c r="D128" t="s">
        <v>17</v>
      </c>
      <c r="E128" t="s">
        <v>37</v>
      </c>
      <c r="F128" t="s">
        <v>44</v>
      </c>
      <c r="G128" t="s">
        <v>60</v>
      </c>
      <c r="H128" t="s">
        <v>153</v>
      </c>
      <c r="I128" t="s">
        <v>30</v>
      </c>
      <c r="J128">
        <v>3</v>
      </c>
      <c r="K128">
        <v>9000</v>
      </c>
      <c r="L128">
        <v>0.25</v>
      </c>
      <c r="M128">
        <v>20250</v>
      </c>
      <c r="O128" t="s">
        <v>23</v>
      </c>
      <c r="P128" t="s">
        <v>47</v>
      </c>
    </row>
    <row r="129" spans="1:16" x14ac:dyDescent="0.35">
      <c r="A129">
        <v>100128</v>
      </c>
      <c r="B129" s="1">
        <v>46113</v>
      </c>
      <c r="C129" t="s">
        <v>32</v>
      </c>
      <c r="D129" t="s">
        <v>17</v>
      </c>
      <c r="E129" t="s">
        <v>18</v>
      </c>
      <c r="F129" t="s">
        <v>27</v>
      </c>
      <c r="G129" t="s">
        <v>28</v>
      </c>
      <c r="H129" t="s">
        <v>152</v>
      </c>
      <c r="I129" t="s">
        <v>22</v>
      </c>
      <c r="J129">
        <v>2</v>
      </c>
      <c r="K129">
        <v>165000</v>
      </c>
      <c r="L129">
        <v>0</v>
      </c>
      <c r="M129">
        <v>330000</v>
      </c>
      <c r="O129" t="s">
        <v>23</v>
      </c>
      <c r="P129" t="s">
        <v>58</v>
      </c>
    </row>
    <row r="130" spans="1:16" x14ac:dyDescent="0.35">
      <c r="A130">
        <v>100129</v>
      </c>
      <c r="B130" s="1">
        <v>46114</v>
      </c>
      <c r="C130" t="s">
        <v>55</v>
      </c>
      <c r="D130" t="s">
        <v>56</v>
      </c>
      <c r="E130" t="s">
        <v>18</v>
      </c>
      <c r="F130" t="s">
        <v>44</v>
      </c>
      <c r="G130" t="s">
        <v>65</v>
      </c>
      <c r="H130" t="s">
        <v>154</v>
      </c>
      <c r="I130" t="s">
        <v>22</v>
      </c>
      <c r="J130">
        <v>2</v>
      </c>
      <c r="K130">
        <v>28000</v>
      </c>
      <c r="L130">
        <v>0.05</v>
      </c>
      <c r="M130">
        <v>53200</v>
      </c>
      <c r="N130">
        <v>16000</v>
      </c>
      <c r="O130" t="s">
        <v>23</v>
      </c>
      <c r="P130" t="s">
        <v>24</v>
      </c>
    </row>
    <row r="131" spans="1:16" x14ac:dyDescent="0.35">
      <c r="A131">
        <v>100130</v>
      </c>
      <c r="B131" s="1">
        <v>46126</v>
      </c>
      <c r="C131" t="s">
        <v>42</v>
      </c>
      <c r="D131" t="s">
        <v>26</v>
      </c>
      <c r="E131" t="s">
        <v>18</v>
      </c>
      <c r="F131" t="s">
        <v>44</v>
      </c>
      <c r="G131" t="s">
        <v>60</v>
      </c>
      <c r="H131" t="s">
        <v>155</v>
      </c>
      <c r="I131" t="s">
        <v>22</v>
      </c>
      <c r="J131">
        <v>2</v>
      </c>
      <c r="K131">
        <v>9000</v>
      </c>
      <c r="L131">
        <v>0</v>
      </c>
      <c r="M131">
        <v>18000</v>
      </c>
      <c r="N131">
        <v>3500</v>
      </c>
      <c r="O131" t="s">
        <v>23</v>
      </c>
      <c r="P131" t="s">
        <v>31</v>
      </c>
    </row>
    <row r="132" spans="1:16" x14ac:dyDescent="0.35">
      <c r="A132">
        <v>100131</v>
      </c>
      <c r="B132" s="1">
        <v>46090</v>
      </c>
      <c r="C132" t="s">
        <v>42</v>
      </c>
      <c r="D132" t="s">
        <v>26</v>
      </c>
      <c r="E132" t="s">
        <v>18</v>
      </c>
      <c r="F132" t="s">
        <v>19</v>
      </c>
      <c r="G132" t="s">
        <v>52</v>
      </c>
      <c r="H132" t="s">
        <v>156</v>
      </c>
      <c r="I132" t="s">
        <v>22</v>
      </c>
      <c r="J132">
        <v>1</v>
      </c>
      <c r="K132">
        <v>42000</v>
      </c>
      <c r="L132">
        <v>0</v>
      </c>
      <c r="M132">
        <v>42000</v>
      </c>
      <c r="N132">
        <v>28000</v>
      </c>
      <c r="O132" t="s">
        <v>23</v>
      </c>
      <c r="P132" t="s">
        <v>58</v>
      </c>
    </row>
    <row r="133" spans="1:16" x14ac:dyDescent="0.35">
      <c r="A133">
        <v>100132</v>
      </c>
      <c r="B133" s="1">
        <v>46258</v>
      </c>
      <c r="C133" t="s">
        <v>55</v>
      </c>
      <c r="D133" t="s">
        <v>56</v>
      </c>
      <c r="E133" t="s">
        <v>43</v>
      </c>
      <c r="F133" t="s">
        <v>27</v>
      </c>
      <c r="G133" t="s">
        <v>38</v>
      </c>
      <c r="H133" t="s">
        <v>157</v>
      </c>
      <c r="I133" t="s">
        <v>30</v>
      </c>
      <c r="J133">
        <v>4</v>
      </c>
      <c r="K133">
        <v>26000</v>
      </c>
      <c r="L133">
        <v>0</v>
      </c>
      <c r="M133">
        <v>104000</v>
      </c>
      <c r="N133">
        <v>15000</v>
      </c>
      <c r="O133" t="s">
        <v>23</v>
      </c>
      <c r="P133" t="s">
        <v>84</v>
      </c>
    </row>
    <row r="134" spans="1:16" x14ac:dyDescent="0.35">
      <c r="A134">
        <v>100133</v>
      </c>
      <c r="B134" s="1">
        <v>46202</v>
      </c>
      <c r="C134" t="s">
        <v>35</v>
      </c>
      <c r="D134" t="s">
        <v>36</v>
      </c>
      <c r="E134" t="s">
        <v>43</v>
      </c>
      <c r="F134" t="s">
        <v>19</v>
      </c>
      <c r="G134" t="s">
        <v>62</v>
      </c>
      <c r="H134" t="s">
        <v>57</v>
      </c>
      <c r="I134" t="s">
        <v>30</v>
      </c>
      <c r="J134">
        <v>1</v>
      </c>
      <c r="K134">
        <v>24000</v>
      </c>
      <c r="L134">
        <v>0</v>
      </c>
      <c r="M134">
        <v>24000</v>
      </c>
      <c r="N134">
        <v>15000</v>
      </c>
      <c r="O134" t="s">
        <v>23</v>
      </c>
      <c r="P134" t="s">
        <v>31</v>
      </c>
    </row>
    <row r="135" spans="1:16" x14ac:dyDescent="0.35">
      <c r="A135">
        <v>100134</v>
      </c>
      <c r="B135" s="1">
        <v>46145</v>
      </c>
      <c r="C135" t="s">
        <v>16</v>
      </c>
      <c r="D135" t="s">
        <v>17</v>
      </c>
      <c r="E135" t="s">
        <v>37</v>
      </c>
      <c r="F135" t="s">
        <v>19</v>
      </c>
      <c r="G135" t="s">
        <v>20</v>
      </c>
      <c r="H135" t="s">
        <v>158</v>
      </c>
      <c r="I135" t="s">
        <v>30</v>
      </c>
      <c r="J135">
        <v>3</v>
      </c>
      <c r="K135">
        <v>58000</v>
      </c>
      <c r="L135">
        <v>0.25</v>
      </c>
      <c r="M135">
        <v>130500</v>
      </c>
      <c r="N135">
        <v>39000</v>
      </c>
      <c r="O135" t="s">
        <v>23</v>
      </c>
      <c r="P135" t="s">
        <v>64</v>
      </c>
    </row>
    <row r="136" spans="1:16" x14ac:dyDescent="0.35">
      <c r="A136">
        <v>100135</v>
      </c>
      <c r="B136" s="1">
        <v>46121</v>
      </c>
      <c r="C136" t="s">
        <v>35</v>
      </c>
      <c r="D136" t="s">
        <v>36</v>
      </c>
      <c r="E136" t="s">
        <v>18</v>
      </c>
      <c r="F136" t="s">
        <v>19</v>
      </c>
      <c r="G136" t="s">
        <v>62</v>
      </c>
      <c r="H136" t="s">
        <v>159</v>
      </c>
      <c r="I136" t="s">
        <v>30</v>
      </c>
      <c r="J136">
        <v>1</v>
      </c>
      <c r="K136">
        <v>24000</v>
      </c>
      <c r="L136">
        <v>0.15</v>
      </c>
      <c r="M136">
        <v>20400</v>
      </c>
      <c r="N136">
        <v>15000</v>
      </c>
      <c r="O136" t="s">
        <v>23</v>
      </c>
      <c r="P136" t="s">
        <v>31</v>
      </c>
    </row>
    <row r="137" spans="1:16" x14ac:dyDescent="0.35">
      <c r="A137">
        <v>100136</v>
      </c>
      <c r="B137" s="1">
        <v>46062</v>
      </c>
      <c r="C137" t="s">
        <v>35</v>
      </c>
      <c r="D137" t="s">
        <v>36</v>
      </c>
      <c r="E137" t="s">
        <v>43</v>
      </c>
      <c r="F137" t="s">
        <v>27</v>
      </c>
      <c r="G137" t="s">
        <v>38</v>
      </c>
      <c r="H137" t="s">
        <v>160</v>
      </c>
      <c r="I137" t="s">
        <v>22</v>
      </c>
      <c r="J137">
        <v>2</v>
      </c>
      <c r="K137">
        <v>26000</v>
      </c>
      <c r="L137">
        <v>0.15</v>
      </c>
      <c r="M137">
        <v>44200</v>
      </c>
      <c r="N137">
        <v>15000</v>
      </c>
      <c r="O137" t="s">
        <v>23</v>
      </c>
      <c r="P137" t="s">
        <v>54</v>
      </c>
    </row>
    <row r="138" spans="1:16" x14ac:dyDescent="0.35">
      <c r="A138">
        <v>100137</v>
      </c>
      <c r="B138" s="1">
        <v>46151</v>
      </c>
      <c r="C138" t="s">
        <v>25</v>
      </c>
      <c r="D138" t="s">
        <v>26</v>
      </c>
      <c r="E138" t="s">
        <v>37</v>
      </c>
      <c r="F138" t="s">
        <v>19</v>
      </c>
      <c r="G138" t="s">
        <v>52</v>
      </c>
      <c r="H138" t="s">
        <v>161</v>
      </c>
      <c r="I138" t="s">
        <v>30</v>
      </c>
      <c r="J138">
        <v>2</v>
      </c>
      <c r="K138">
        <v>42000</v>
      </c>
      <c r="L138">
        <v>0</v>
      </c>
      <c r="M138">
        <v>84000</v>
      </c>
      <c r="N138">
        <v>28000</v>
      </c>
      <c r="O138" t="s">
        <v>23</v>
      </c>
      <c r="P138" t="s">
        <v>58</v>
      </c>
    </row>
    <row r="139" spans="1:16" x14ac:dyDescent="0.35">
      <c r="A139">
        <v>100138</v>
      </c>
      <c r="B139" s="1">
        <v>46137</v>
      </c>
      <c r="C139" t="s">
        <v>50</v>
      </c>
      <c r="D139" t="s">
        <v>51</v>
      </c>
      <c r="E139" t="s">
        <v>43</v>
      </c>
      <c r="F139" t="s">
        <v>27</v>
      </c>
      <c r="G139" t="s">
        <v>33</v>
      </c>
      <c r="H139" t="s">
        <v>46</v>
      </c>
      <c r="I139" t="s">
        <v>30</v>
      </c>
      <c r="J139">
        <v>4</v>
      </c>
      <c r="K139">
        <v>32000</v>
      </c>
      <c r="L139">
        <v>0</v>
      </c>
      <c r="M139">
        <v>128000</v>
      </c>
      <c r="N139">
        <v>19000</v>
      </c>
      <c r="O139" t="s">
        <v>23</v>
      </c>
      <c r="P139" t="s">
        <v>54</v>
      </c>
    </row>
    <row r="140" spans="1:16" x14ac:dyDescent="0.35">
      <c r="A140">
        <v>100139</v>
      </c>
      <c r="B140" s="1">
        <v>46056</v>
      </c>
      <c r="C140" t="s">
        <v>25</v>
      </c>
      <c r="D140" t="s">
        <v>26</v>
      </c>
      <c r="E140" t="s">
        <v>43</v>
      </c>
      <c r="F140" t="s">
        <v>44</v>
      </c>
      <c r="G140" t="s">
        <v>65</v>
      </c>
      <c r="H140" t="s">
        <v>162</v>
      </c>
      <c r="I140" t="s">
        <v>22</v>
      </c>
      <c r="J140">
        <v>3</v>
      </c>
      <c r="K140">
        <v>28000</v>
      </c>
      <c r="L140">
        <v>0.05</v>
      </c>
      <c r="M140">
        <v>79800</v>
      </c>
      <c r="N140">
        <v>16000</v>
      </c>
      <c r="O140" t="s">
        <v>23</v>
      </c>
      <c r="P140" t="s">
        <v>47</v>
      </c>
    </row>
    <row r="141" spans="1:16" x14ac:dyDescent="0.35">
      <c r="A141">
        <v>100140</v>
      </c>
      <c r="B141" s="1">
        <v>46100</v>
      </c>
      <c r="C141" t="s">
        <v>42</v>
      </c>
      <c r="D141" t="s">
        <v>26</v>
      </c>
      <c r="E141" t="s">
        <v>43</v>
      </c>
      <c r="F141" t="s">
        <v>44</v>
      </c>
      <c r="G141" t="s">
        <v>45</v>
      </c>
      <c r="H141" t="s">
        <v>143</v>
      </c>
      <c r="I141" t="s">
        <v>30</v>
      </c>
      <c r="J141">
        <v>2</v>
      </c>
      <c r="K141">
        <v>6500</v>
      </c>
      <c r="L141">
        <v>0.15</v>
      </c>
      <c r="M141">
        <v>11050</v>
      </c>
      <c r="N141">
        <v>2200</v>
      </c>
      <c r="O141" t="s">
        <v>23</v>
      </c>
      <c r="P141" t="s">
        <v>64</v>
      </c>
    </row>
    <row r="142" spans="1:16" x14ac:dyDescent="0.35">
      <c r="A142">
        <v>100141</v>
      </c>
      <c r="B142" s="1">
        <v>46043</v>
      </c>
      <c r="C142" t="s">
        <v>42</v>
      </c>
      <c r="D142" t="s">
        <v>26</v>
      </c>
      <c r="E142" t="s">
        <v>43</v>
      </c>
      <c r="F142" t="s">
        <v>19</v>
      </c>
      <c r="G142" t="s">
        <v>52</v>
      </c>
      <c r="H142" t="s">
        <v>98</v>
      </c>
      <c r="I142" t="s">
        <v>30</v>
      </c>
      <c r="J142">
        <v>18</v>
      </c>
      <c r="K142">
        <v>42000</v>
      </c>
      <c r="L142">
        <v>0</v>
      </c>
      <c r="M142">
        <v>756000</v>
      </c>
      <c r="N142">
        <v>28000</v>
      </c>
      <c r="O142" t="s">
        <v>23</v>
      </c>
      <c r="P142" t="s">
        <v>64</v>
      </c>
    </row>
    <row r="143" spans="1:16" x14ac:dyDescent="0.35">
      <c r="A143">
        <v>100142</v>
      </c>
      <c r="B143" s="1">
        <v>46129</v>
      </c>
      <c r="C143" t="s">
        <v>50</v>
      </c>
      <c r="D143" t="s">
        <v>51</v>
      </c>
      <c r="E143" t="s">
        <v>37</v>
      </c>
      <c r="F143" t="s">
        <v>27</v>
      </c>
      <c r="G143" t="s">
        <v>33</v>
      </c>
      <c r="H143" t="s">
        <v>163</v>
      </c>
      <c r="I143" t="s">
        <v>22</v>
      </c>
      <c r="J143">
        <v>1</v>
      </c>
      <c r="K143">
        <v>32000</v>
      </c>
      <c r="L143">
        <v>0</v>
      </c>
      <c r="M143">
        <v>32000</v>
      </c>
      <c r="N143">
        <v>19000</v>
      </c>
      <c r="O143" t="s">
        <v>23</v>
      </c>
      <c r="P143" t="s">
        <v>31</v>
      </c>
    </row>
    <row r="144" spans="1:16" x14ac:dyDescent="0.35">
      <c r="A144">
        <v>100143</v>
      </c>
      <c r="B144" s="1">
        <v>46187</v>
      </c>
      <c r="C144" t="s">
        <v>42</v>
      </c>
      <c r="D144" t="s">
        <v>26</v>
      </c>
      <c r="E144" t="s">
        <v>43</v>
      </c>
      <c r="F144" t="s">
        <v>27</v>
      </c>
      <c r="G144" t="s">
        <v>28</v>
      </c>
      <c r="H144" t="s">
        <v>77</v>
      </c>
      <c r="I144" t="s">
        <v>30</v>
      </c>
      <c r="J144">
        <v>2</v>
      </c>
      <c r="K144">
        <v>165000</v>
      </c>
      <c r="L144">
        <v>0</v>
      </c>
      <c r="M144">
        <v>330000</v>
      </c>
      <c r="N144">
        <v>112000</v>
      </c>
      <c r="O144" t="s">
        <v>23</v>
      </c>
      <c r="P144" t="s">
        <v>64</v>
      </c>
    </row>
    <row r="145" spans="1:16" x14ac:dyDescent="0.35">
      <c r="A145">
        <v>100144</v>
      </c>
      <c r="B145" s="1">
        <v>46132</v>
      </c>
      <c r="C145" t="s">
        <v>50</v>
      </c>
      <c r="D145" t="s">
        <v>51</v>
      </c>
      <c r="E145" t="s">
        <v>18</v>
      </c>
      <c r="F145" t="s">
        <v>27</v>
      </c>
      <c r="G145" t="s">
        <v>33</v>
      </c>
      <c r="H145" t="s">
        <v>164</v>
      </c>
      <c r="I145" t="s">
        <v>22</v>
      </c>
      <c r="J145">
        <v>2</v>
      </c>
      <c r="K145">
        <v>32000</v>
      </c>
      <c r="L145">
        <v>0.15</v>
      </c>
      <c r="M145">
        <v>54400</v>
      </c>
      <c r="N145">
        <v>19000</v>
      </c>
      <c r="O145" t="s">
        <v>76</v>
      </c>
      <c r="P145" t="s">
        <v>40</v>
      </c>
    </row>
    <row r="146" spans="1:16" x14ac:dyDescent="0.35">
      <c r="A146">
        <v>100145</v>
      </c>
      <c r="B146" s="1">
        <v>46141</v>
      </c>
      <c r="C146" t="s">
        <v>50</v>
      </c>
      <c r="D146" t="s">
        <v>51</v>
      </c>
      <c r="E146" t="s">
        <v>43</v>
      </c>
      <c r="F146" t="s">
        <v>44</v>
      </c>
      <c r="G146" t="s">
        <v>65</v>
      </c>
      <c r="H146" t="s">
        <v>119</v>
      </c>
      <c r="I146" t="s">
        <v>22</v>
      </c>
      <c r="J146">
        <v>1</v>
      </c>
      <c r="K146">
        <v>28000</v>
      </c>
      <c r="L146">
        <v>0</v>
      </c>
      <c r="M146">
        <v>28000</v>
      </c>
      <c r="N146">
        <v>16000</v>
      </c>
      <c r="O146" t="s">
        <v>23</v>
      </c>
      <c r="P146" t="s">
        <v>24</v>
      </c>
    </row>
    <row r="147" spans="1:16" x14ac:dyDescent="0.35">
      <c r="A147">
        <v>100146</v>
      </c>
      <c r="B147" s="1">
        <v>46108</v>
      </c>
      <c r="C147" t="s">
        <v>35</v>
      </c>
      <c r="D147" t="s">
        <v>36</v>
      </c>
      <c r="E147" t="s">
        <v>37</v>
      </c>
      <c r="F147" t="s">
        <v>27</v>
      </c>
      <c r="G147" t="s">
        <v>33</v>
      </c>
      <c r="H147" t="s">
        <v>134</v>
      </c>
      <c r="I147" t="s">
        <v>30</v>
      </c>
      <c r="J147">
        <v>1</v>
      </c>
      <c r="K147">
        <v>32000</v>
      </c>
      <c r="L147">
        <v>0.1</v>
      </c>
      <c r="M147">
        <v>28800</v>
      </c>
      <c r="N147">
        <v>19000</v>
      </c>
      <c r="O147" t="s">
        <v>23</v>
      </c>
      <c r="P147" t="s">
        <v>64</v>
      </c>
    </row>
    <row r="148" spans="1:16" x14ac:dyDescent="0.35">
      <c r="A148">
        <v>100147</v>
      </c>
      <c r="B148" s="1">
        <v>46127</v>
      </c>
      <c r="C148" t="s">
        <v>55</v>
      </c>
      <c r="D148" t="s">
        <v>56</v>
      </c>
      <c r="E148" t="s">
        <v>43</v>
      </c>
      <c r="F148" t="s">
        <v>19</v>
      </c>
      <c r="G148" t="s">
        <v>52</v>
      </c>
      <c r="H148" t="s">
        <v>165</v>
      </c>
      <c r="I148" t="s">
        <v>22</v>
      </c>
      <c r="J148">
        <v>2</v>
      </c>
      <c r="K148">
        <v>42000</v>
      </c>
      <c r="L148">
        <v>0.05</v>
      </c>
      <c r="M148">
        <v>79800</v>
      </c>
      <c r="N148">
        <v>28000</v>
      </c>
      <c r="O148" t="s">
        <v>23</v>
      </c>
      <c r="P148" t="s">
        <v>24</v>
      </c>
    </row>
    <row r="149" spans="1:16" x14ac:dyDescent="0.35">
      <c r="A149">
        <v>100148</v>
      </c>
      <c r="B149" s="1">
        <v>46227</v>
      </c>
      <c r="C149" t="s">
        <v>55</v>
      </c>
      <c r="D149" t="s">
        <v>56</v>
      </c>
      <c r="E149" t="s">
        <v>37</v>
      </c>
      <c r="F149" t="s">
        <v>19</v>
      </c>
      <c r="G149" t="s">
        <v>62</v>
      </c>
      <c r="H149" t="s">
        <v>108</v>
      </c>
      <c r="I149" t="s">
        <v>30</v>
      </c>
      <c r="J149">
        <v>1</v>
      </c>
      <c r="K149">
        <v>24000</v>
      </c>
      <c r="L149">
        <v>0.05</v>
      </c>
      <c r="M149">
        <v>22800</v>
      </c>
      <c r="N149">
        <v>15000</v>
      </c>
      <c r="O149" t="s">
        <v>23</v>
      </c>
      <c r="P149" t="s">
        <v>24</v>
      </c>
    </row>
    <row r="150" spans="1:16" x14ac:dyDescent="0.35">
      <c r="A150">
        <v>100149</v>
      </c>
      <c r="B150" s="1">
        <v>46038</v>
      </c>
      <c r="C150" t="s">
        <v>42</v>
      </c>
      <c r="D150" t="s">
        <v>26</v>
      </c>
      <c r="E150" t="s">
        <v>43</v>
      </c>
      <c r="F150" t="s">
        <v>44</v>
      </c>
      <c r="G150" t="s">
        <v>60</v>
      </c>
      <c r="H150" t="s">
        <v>133</v>
      </c>
      <c r="I150" t="s">
        <v>30</v>
      </c>
      <c r="J150">
        <v>4</v>
      </c>
      <c r="K150">
        <v>9000</v>
      </c>
      <c r="L150">
        <v>0.05</v>
      </c>
      <c r="M150">
        <v>34200</v>
      </c>
      <c r="N150">
        <v>3500</v>
      </c>
      <c r="O150" t="s">
        <v>23</v>
      </c>
      <c r="P150" t="s">
        <v>40</v>
      </c>
    </row>
    <row r="151" spans="1:16" x14ac:dyDescent="0.35">
      <c r="A151">
        <v>100150</v>
      </c>
      <c r="B151" s="1">
        <v>46032</v>
      </c>
      <c r="C151" t="s">
        <v>50</v>
      </c>
      <c r="D151" t="s">
        <v>51</v>
      </c>
      <c r="E151" t="s">
        <v>37</v>
      </c>
      <c r="F151" t="s">
        <v>27</v>
      </c>
      <c r="G151" t="s">
        <v>38</v>
      </c>
      <c r="H151" t="s">
        <v>91</v>
      </c>
      <c r="I151" t="s">
        <v>30</v>
      </c>
      <c r="J151">
        <v>1</v>
      </c>
      <c r="K151">
        <v>26000</v>
      </c>
      <c r="L151">
        <v>0.1</v>
      </c>
      <c r="M151">
        <v>23400</v>
      </c>
      <c r="N151">
        <v>15000</v>
      </c>
      <c r="O151" t="s">
        <v>23</v>
      </c>
      <c r="P151" t="s">
        <v>40</v>
      </c>
    </row>
    <row r="152" spans="1:16" x14ac:dyDescent="0.35">
      <c r="A152">
        <v>100151</v>
      </c>
      <c r="B152" s="1">
        <v>46059</v>
      </c>
      <c r="C152" t="s">
        <v>35</v>
      </c>
      <c r="D152" t="s">
        <v>36</v>
      </c>
      <c r="E152" t="s">
        <v>37</v>
      </c>
      <c r="F152" t="s">
        <v>27</v>
      </c>
      <c r="G152" t="s">
        <v>28</v>
      </c>
      <c r="H152" t="s">
        <v>166</v>
      </c>
      <c r="I152" t="s">
        <v>22</v>
      </c>
      <c r="J152">
        <v>1</v>
      </c>
      <c r="K152">
        <v>165000</v>
      </c>
      <c r="L152">
        <v>0.15</v>
      </c>
      <c r="M152">
        <v>140250</v>
      </c>
      <c r="N152">
        <v>112000</v>
      </c>
      <c r="O152" t="s">
        <v>23</v>
      </c>
      <c r="P152" t="s">
        <v>24</v>
      </c>
    </row>
    <row r="153" spans="1:16" x14ac:dyDescent="0.35">
      <c r="A153">
        <v>100152</v>
      </c>
      <c r="B153" s="1">
        <v>46052</v>
      </c>
      <c r="C153" t="s">
        <v>42</v>
      </c>
      <c r="D153" t="s">
        <v>26</v>
      </c>
      <c r="E153" t="s">
        <v>18</v>
      </c>
      <c r="F153" t="s">
        <v>44</v>
      </c>
      <c r="G153" t="s">
        <v>45</v>
      </c>
      <c r="H153" t="s">
        <v>157</v>
      </c>
      <c r="I153" t="s">
        <v>30</v>
      </c>
      <c r="J153">
        <v>1</v>
      </c>
      <c r="K153">
        <v>6500</v>
      </c>
      <c r="L153">
        <v>0</v>
      </c>
      <c r="M153">
        <v>6500</v>
      </c>
      <c r="N153">
        <v>2200</v>
      </c>
      <c r="O153" t="s">
        <v>23</v>
      </c>
      <c r="P153" t="s">
        <v>64</v>
      </c>
    </row>
    <row r="154" spans="1:16" x14ac:dyDescent="0.35">
      <c r="A154">
        <v>100153</v>
      </c>
      <c r="B154" s="1">
        <v>46205</v>
      </c>
      <c r="C154" t="s">
        <v>16</v>
      </c>
      <c r="D154" t="s">
        <v>17</v>
      </c>
      <c r="E154" t="s">
        <v>18</v>
      </c>
      <c r="F154" t="s">
        <v>27</v>
      </c>
      <c r="G154" t="s">
        <v>33</v>
      </c>
      <c r="H154" t="s">
        <v>167</v>
      </c>
      <c r="I154" t="s">
        <v>30</v>
      </c>
      <c r="J154">
        <v>1</v>
      </c>
      <c r="K154">
        <v>32000</v>
      </c>
      <c r="L154">
        <v>0.25</v>
      </c>
      <c r="M154">
        <v>24000</v>
      </c>
      <c r="N154">
        <v>19000</v>
      </c>
      <c r="O154" t="s">
        <v>23</v>
      </c>
      <c r="P154" t="s">
        <v>54</v>
      </c>
    </row>
    <row r="155" spans="1:16" x14ac:dyDescent="0.35">
      <c r="A155">
        <v>100154</v>
      </c>
      <c r="B155" s="1">
        <v>46068</v>
      </c>
      <c r="C155" t="s">
        <v>50</v>
      </c>
      <c r="D155" t="s">
        <v>51</v>
      </c>
      <c r="E155" t="s">
        <v>43</v>
      </c>
      <c r="F155" t="s">
        <v>27</v>
      </c>
      <c r="G155" t="s">
        <v>33</v>
      </c>
      <c r="H155" t="s">
        <v>118</v>
      </c>
      <c r="I155" t="s">
        <v>22</v>
      </c>
      <c r="J155">
        <v>1</v>
      </c>
      <c r="K155">
        <v>32000</v>
      </c>
      <c r="L155">
        <v>0</v>
      </c>
      <c r="M155">
        <v>32000</v>
      </c>
      <c r="O155" t="s">
        <v>23</v>
      </c>
      <c r="P155" t="s">
        <v>54</v>
      </c>
    </row>
    <row r="156" spans="1:16" x14ac:dyDescent="0.35">
      <c r="A156">
        <v>100155</v>
      </c>
      <c r="B156" s="1">
        <v>46198</v>
      </c>
      <c r="C156" t="s">
        <v>42</v>
      </c>
      <c r="D156" t="s">
        <v>26</v>
      </c>
      <c r="E156" t="s">
        <v>43</v>
      </c>
      <c r="F156" t="s">
        <v>44</v>
      </c>
      <c r="G156" t="s">
        <v>65</v>
      </c>
      <c r="H156" t="s">
        <v>102</v>
      </c>
      <c r="I156" t="s">
        <v>22</v>
      </c>
      <c r="J156">
        <v>5</v>
      </c>
      <c r="K156">
        <v>28000</v>
      </c>
      <c r="L156">
        <v>0.15</v>
      </c>
      <c r="M156">
        <v>119000</v>
      </c>
      <c r="N156">
        <v>16000</v>
      </c>
      <c r="O156" t="s">
        <v>23</v>
      </c>
      <c r="P156" t="s">
        <v>24</v>
      </c>
    </row>
    <row r="157" spans="1:16" x14ac:dyDescent="0.35">
      <c r="A157">
        <v>100156</v>
      </c>
      <c r="B157" s="1">
        <v>46215</v>
      </c>
      <c r="C157" t="s">
        <v>25</v>
      </c>
      <c r="D157" t="s">
        <v>26</v>
      </c>
      <c r="E157" t="s">
        <v>43</v>
      </c>
      <c r="F157" t="s">
        <v>27</v>
      </c>
      <c r="G157" t="s">
        <v>33</v>
      </c>
      <c r="H157" t="s">
        <v>74</v>
      </c>
      <c r="I157" t="s">
        <v>22</v>
      </c>
      <c r="J157">
        <v>1</v>
      </c>
      <c r="K157">
        <v>32000</v>
      </c>
      <c r="L157">
        <v>0</v>
      </c>
      <c r="M157">
        <v>32000</v>
      </c>
      <c r="N157">
        <v>19000</v>
      </c>
      <c r="O157" t="s">
        <v>23</v>
      </c>
      <c r="P157" t="s">
        <v>31</v>
      </c>
    </row>
    <row r="158" spans="1:16" x14ac:dyDescent="0.35">
      <c r="A158">
        <v>100157</v>
      </c>
      <c r="B158" s="1">
        <v>46108</v>
      </c>
      <c r="C158" t="s">
        <v>50</v>
      </c>
      <c r="D158" t="s">
        <v>51</v>
      </c>
      <c r="E158" t="s">
        <v>37</v>
      </c>
      <c r="F158" t="s">
        <v>27</v>
      </c>
      <c r="G158" t="s">
        <v>33</v>
      </c>
      <c r="H158" t="s">
        <v>168</v>
      </c>
      <c r="I158" t="s">
        <v>22</v>
      </c>
      <c r="J158">
        <v>1</v>
      </c>
      <c r="K158">
        <v>32000</v>
      </c>
      <c r="L158">
        <v>0.1</v>
      </c>
      <c r="M158">
        <v>28800</v>
      </c>
      <c r="N158">
        <v>19000</v>
      </c>
      <c r="O158" t="s">
        <v>23</v>
      </c>
      <c r="P158" t="s">
        <v>40</v>
      </c>
    </row>
    <row r="159" spans="1:16" x14ac:dyDescent="0.35">
      <c r="A159">
        <v>100158</v>
      </c>
      <c r="B159" s="1">
        <v>46179</v>
      </c>
      <c r="C159" t="s">
        <v>55</v>
      </c>
      <c r="D159" t="s">
        <v>56</v>
      </c>
      <c r="E159" t="s">
        <v>37</v>
      </c>
      <c r="F159" t="s">
        <v>44</v>
      </c>
      <c r="G159" t="s">
        <v>60</v>
      </c>
      <c r="H159" t="s">
        <v>169</v>
      </c>
      <c r="I159" t="s">
        <v>22</v>
      </c>
      <c r="J159">
        <v>2</v>
      </c>
      <c r="K159">
        <v>9000</v>
      </c>
      <c r="L159">
        <v>0.05</v>
      </c>
      <c r="M159">
        <v>17100</v>
      </c>
      <c r="O159" t="s">
        <v>23</v>
      </c>
      <c r="P159" t="s">
        <v>31</v>
      </c>
    </row>
    <row r="160" spans="1:16" x14ac:dyDescent="0.35">
      <c r="A160">
        <v>100159</v>
      </c>
      <c r="B160" s="1">
        <v>46204</v>
      </c>
      <c r="C160" t="s">
        <v>25</v>
      </c>
      <c r="D160" t="s">
        <v>26</v>
      </c>
      <c r="E160" t="s">
        <v>43</v>
      </c>
      <c r="F160" t="s">
        <v>19</v>
      </c>
      <c r="G160" t="s">
        <v>62</v>
      </c>
      <c r="H160" t="s">
        <v>73</v>
      </c>
      <c r="I160" t="s">
        <v>22</v>
      </c>
      <c r="J160">
        <v>1</v>
      </c>
      <c r="K160">
        <v>24000</v>
      </c>
      <c r="L160">
        <v>0</v>
      </c>
      <c r="M160">
        <v>24000</v>
      </c>
      <c r="N160">
        <v>15000</v>
      </c>
      <c r="O160" t="s">
        <v>23</v>
      </c>
      <c r="P160" t="s">
        <v>58</v>
      </c>
    </row>
    <row r="161" spans="1:16" x14ac:dyDescent="0.35">
      <c r="A161">
        <v>100160</v>
      </c>
      <c r="B161" s="1">
        <v>46076</v>
      </c>
      <c r="C161" t="s">
        <v>42</v>
      </c>
      <c r="D161" t="s">
        <v>26</v>
      </c>
      <c r="E161" t="s">
        <v>37</v>
      </c>
      <c r="F161" t="s">
        <v>19</v>
      </c>
      <c r="G161" t="s">
        <v>62</v>
      </c>
      <c r="H161" t="s">
        <v>170</v>
      </c>
      <c r="I161" t="s">
        <v>30</v>
      </c>
      <c r="J161">
        <v>1</v>
      </c>
      <c r="K161">
        <v>24000</v>
      </c>
      <c r="L161">
        <v>0</v>
      </c>
      <c r="M161">
        <v>24000</v>
      </c>
      <c r="N161">
        <v>15000</v>
      </c>
      <c r="O161" t="s">
        <v>23</v>
      </c>
      <c r="P161" t="s">
        <v>40</v>
      </c>
    </row>
    <row r="162" spans="1:16" x14ac:dyDescent="0.35">
      <c r="A162">
        <v>100161</v>
      </c>
      <c r="B162" s="1">
        <v>46230</v>
      </c>
      <c r="C162" t="s">
        <v>50</v>
      </c>
      <c r="D162" t="s">
        <v>51</v>
      </c>
      <c r="E162" t="s">
        <v>18</v>
      </c>
      <c r="F162" t="s">
        <v>19</v>
      </c>
      <c r="G162" t="s">
        <v>20</v>
      </c>
      <c r="H162" t="s">
        <v>171</v>
      </c>
      <c r="I162" t="s">
        <v>30</v>
      </c>
      <c r="J162">
        <v>3</v>
      </c>
      <c r="K162">
        <v>58000</v>
      </c>
      <c r="L162">
        <v>0</v>
      </c>
      <c r="M162">
        <v>174000</v>
      </c>
      <c r="N162">
        <v>39000</v>
      </c>
      <c r="O162" t="s">
        <v>23</v>
      </c>
      <c r="P162" t="s">
        <v>58</v>
      </c>
    </row>
    <row r="163" spans="1:16" x14ac:dyDescent="0.35">
      <c r="A163">
        <v>100162</v>
      </c>
      <c r="B163" s="1">
        <v>46129</v>
      </c>
      <c r="C163" t="s">
        <v>50</v>
      </c>
      <c r="D163" t="s">
        <v>51</v>
      </c>
      <c r="E163" t="s">
        <v>18</v>
      </c>
      <c r="F163" t="s">
        <v>44</v>
      </c>
      <c r="G163" t="s">
        <v>60</v>
      </c>
      <c r="H163" t="s">
        <v>172</v>
      </c>
      <c r="I163" t="s">
        <v>22</v>
      </c>
      <c r="J163">
        <v>1</v>
      </c>
      <c r="K163">
        <v>9000</v>
      </c>
      <c r="L163">
        <v>0</v>
      </c>
      <c r="M163">
        <v>9000</v>
      </c>
      <c r="O163" t="s">
        <v>23</v>
      </c>
      <c r="P163" t="s">
        <v>54</v>
      </c>
    </row>
    <row r="164" spans="1:16" x14ac:dyDescent="0.35">
      <c r="A164">
        <v>100163</v>
      </c>
      <c r="B164" s="1">
        <v>46199</v>
      </c>
      <c r="C164" t="s">
        <v>35</v>
      </c>
      <c r="D164" t="s">
        <v>36</v>
      </c>
      <c r="E164" t="s">
        <v>37</v>
      </c>
      <c r="F164" t="s">
        <v>27</v>
      </c>
      <c r="G164" t="s">
        <v>38</v>
      </c>
      <c r="H164" t="s">
        <v>173</v>
      </c>
      <c r="I164" t="s">
        <v>22</v>
      </c>
      <c r="J164">
        <v>5</v>
      </c>
      <c r="K164">
        <v>26000</v>
      </c>
      <c r="L164">
        <v>0.15</v>
      </c>
      <c r="M164">
        <v>88400</v>
      </c>
      <c r="N164">
        <v>15000</v>
      </c>
      <c r="O164" t="s">
        <v>23</v>
      </c>
      <c r="P164" t="s">
        <v>47</v>
      </c>
    </row>
    <row r="165" spans="1:16" x14ac:dyDescent="0.35">
      <c r="A165">
        <v>100164</v>
      </c>
      <c r="B165" s="1">
        <v>46106</v>
      </c>
      <c r="C165" t="s">
        <v>35</v>
      </c>
      <c r="D165" t="s">
        <v>36</v>
      </c>
      <c r="E165" t="s">
        <v>37</v>
      </c>
      <c r="F165" t="s">
        <v>27</v>
      </c>
      <c r="G165" t="s">
        <v>28</v>
      </c>
      <c r="H165" t="s">
        <v>174</v>
      </c>
      <c r="I165" t="s">
        <v>30</v>
      </c>
      <c r="J165">
        <v>5</v>
      </c>
      <c r="K165">
        <v>165000</v>
      </c>
      <c r="L165">
        <v>0.05</v>
      </c>
      <c r="M165">
        <v>783750</v>
      </c>
      <c r="N165">
        <v>112000</v>
      </c>
      <c r="O165" t="s">
        <v>23</v>
      </c>
      <c r="P165" t="s">
        <v>24</v>
      </c>
    </row>
    <row r="166" spans="1:16" x14ac:dyDescent="0.35">
      <c r="A166">
        <v>100165</v>
      </c>
      <c r="B166" s="1">
        <v>46159</v>
      </c>
      <c r="C166" t="s">
        <v>25</v>
      </c>
      <c r="D166" t="s">
        <v>26</v>
      </c>
      <c r="E166" t="s">
        <v>37</v>
      </c>
      <c r="F166" t="s">
        <v>27</v>
      </c>
      <c r="G166" t="s">
        <v>28</v>
      </c>
      <c r="H166" t="s">
        <v>89</v>
      </c>
      <c r="I166" t="s">
        <v>30</v>
      </c>
      <c r="J166">
        <v>1</v>
      </c>
      <c r="K166">
        <v>165000</v>
      </c>
      <c r="L166">
        <v>0</v>
      </c>
      <c r="M166">
        <v>165000</v>
      </c>
      <c r="N166">
        <v>112000</v>
      </c>
      <c r="O166" t="s">
        <v>23</v>
      </c>
      <c r="P166" t="s">
        <v>54</v>
      </c>
    </row>
    <row r="167" spans="1:16" x14ac:dyDescent="0.35">
      <c r="A167">
        <v>100166</v>
      </c>
      <c r="B167" s="1">
        <v>46144</v>
      </c>
      <c r="C167" t="s">
        <v>25</v>
      </c>
      <c r="D167" t="s">
        <v>26</v>
      </c>
      <c r="E167" t="s">
        <v>37</v>
      </c>
      <c r="F167" t="s">
        <v>27</v>
      </c>
      <c r="G167" t="s">
        <v>33</v>
      </c>
      <c r="H167" t="s">
        <v>175</v>
      </c>
      <c r="I167" t="s">
        <v>30</v>
      </c>
      <c r="J167">
        <v>3</v>
      </c>
      <c r="K167">
        <v>32000</v>
      </c>
      <c r="L167">
        <v>0.05</v>
      </c>
      <c r="M167">
        <v>91200</v>
      </c>
      <c r="N167">
        <v>19000</v>
      </c>
      <c r="O167" t="s">
        <v>23</v>
      </c>
      <c r="P167" t="s">
        <v>84</v>
      </c>
    </row>
    <row r="168" spans="1:16" x14ac:dyDescent="0.35">
      <c r="A168">
        <v>100167</v>
      </c>
      <c r="B168" s="1">
        <v>46252</v>
      </c>
      <c r="C168" t="s">
        <v>42</v>
      </c>
      <c r="D168" t="s">
        <v>26</v>
      </c>
      <c r="E168" t="s">
        <v>18</v>
      </c>
      <c r="F168" t="s">
        <v>27</v>
      </c>
      <c r="G168" t="s">
        <v>33</v>
      </c>
      <c r="H168" t="s">
        <v>176</v>
      </c>
      <c r="I168" t="s">
        <v>22</v>
      </c>
      <c r="J168">
        <v>1</v>
      </c>
      <c r="K168">
        <v>32000</v>
      </c>
      <c r="L168">
        <v>0.1</v>
      </c>
      <c r="M168">
        <v>28800</v>
      </c>
      <c r="N168">
        <v>19000</v>
      </c>
      <c r="O168" t="s">
        <v>23</v>
      </c>
      <c r="P168" t="s">
        <v>84</v>
      </c>
    </row>
    <row r="169" spans="1:16" x14ac:dyDescent="0.35">
      <c r="A169">
        <v>100168</v>
      </c>
      <c r="B169" s="1">
        <v>46251</v>
      </c>
      <c r="C169" t="s">
        <v>35</v>
      </c>
      <c r="D169" t="s">
        <v>36</v>
      </c>
      <c r="E169" t="s">
        <v>18</v>
      </c>
      <c r="F169" t="s">
        <v>27</v>
      </c>
      <c r="G169" t="s">
        <v>33</v>
      </c>
      <c r="H169" t="s">
        <v>69</v>
      </c>
      <c r="I169" t="s">
        <v>22</v>
      </c>
      <c r="J169">
        <v>22</v>
      </c>
      <c r="K169">
        <v>32000</v>
      </c>
      <c r="L169">
        <v>0.05</v>
      </c>
      <c r="M169">
        <v>668800</v>
      </c>
      <c r="N169">
        <v>19000</v>
      </c>
      <c r="O169" t="s">
        <v>76</v>
      </c>
      <c r="P169" t="s">
        <v>24</v>
      </c>
    </row>
    <row r="170" spans="1:16" x14ac:dyDescent="0.35">
      <c r="A170">
        <v>100169</v>
      </c>
      <c r="B170" s="1">
        <v>46055</v>
      </c>
      <c r="C170" t="s">
        <v>32</v>
      </c>
      <c r="D170" t="s">
        <v>17</v>
      </c>
      <c r="E170" t="s">
        <v>18</v>
      </c>
      <c r="F170" t="s">
        <v>27</v>
      </c>
      <c r="G170" t="s">
        <v>38</v>
      </c>
      <c r="H170" t="s">
        <v>177</v>
      </c>
      <c r="I170" t="s">
        <v>30</v>
      </c>
      <c r="J170">
        <v>3</v>
      </c>
      <c r="K170">
        <v>26000</v>
      </c>
      <c r="L170">
        <v>0.15</v>
      </c>
      <c r="M170">
        <v>66300</v>
      </c>
      <c r="N170">
        <v>15000</v>
      </c>
      <c r="O170" t="s">
        <v>76</v>
      </c>
      <c r="P170" t="s">
        <v>58</v>
      </c>
    </row>
    <row r="171" spans="1:16" x14ac:dyDescent="0.35">
      <c r="A171">
        <v>100170</v>
      </c>
      <c r="B171" s="1">
        <v>46158</v>
      </c>
      <c r="C171" t="s">
        <v>42</v>
      </c>
      <c r="D171" t="s">
        <v>26</v>
      </c>
      <c r="E171" t="s">
        <v>43</v>
      </c>
      <c r="F171" t="s">
        <v>27</v>
      </c>
      <c r="G171" t="s">
        <v>38</v>
      </c>
      <c r="H171" t="s">
        <v>74</v>
      </c>
      <c r="I171" t="s">
        <v>22</v>
      </c>
      <c r="J171">
        <v>1</v>
      </c>
      <c r="K171">
        <v>26000</v>
      </c>
      <c r="L171">
        <v>0.05</v>
      </c>
      <c r="M171">
        <v>24700</v>
      </c>
      <c r="N171">
        <v>15000</v>
      </c>
      <c r="O171" t="s">
        <v>23</v>
      </c>
      <c r="P171" t="s">
        <v>64</v>
      </c>
    </row>
    <row r="172" spans="1:16" x14ac:dyDescent="0.35">
      <c r="A172">
        <v>100171</v>
      </c>
      <c r="B172" s="1">
        <v>46227</v>
      </c>
      <c r="C172" t="s">
        <v>35</v>
      </c>
      <c r="D172" t="s">
        <v>36</v>
      </c>
      <c r="E172" t="s">
        <v>37</v>
      </c>
      <c r="F172" t="s">
        <v>19</v>
      </c>
      <c r="G172" t="s">
        <v>62</v>
      </c>
      <c r="H172" t="s">
        <v>178</v>
      </c>
      <c r="I172" t="s">
        <v>30</v>
      </c>
      <c r="J172">
        <v>3</v>
      </c>
      <c r="K172">
        <v>24000</v>
      </c>
      <c r="L172">
        <v>0.15</v>
      </c>
      <c r="M172">
        <v>61200</v>
      </c>
      <c r="N172">
        <v>15000</v>
      </c>
      <c r="O172" t="s">
        <v>23</v>
      </c>
      <c r="P172" t="s">
        <v>40</v>
      </c>
    </row>
    <row r="173" spans="1:16" x14ac:dyDescent="0.35">
      <c r="A173">
        <v>100172</v>
      </c>
      <c r="B173" s="1">
        <v>46110</v>
      </c>
      <c r="C173" t="s">
        <v>50</v>
      </c>
      <c r="D173" t="s">
        <v>51</v>
      </c>
      <c r="E173" t="s">
        <v>43</v>
      </c>
      <c r="F173" t="s">
        <v>44</v>
      </c>
      <c r="G173" t="s">
        <v>65</v>
      </c>
      <c r="H173" t="s">
        <v>165</v>
      </c>
      <c r="I173" t="s">
        <v>22</v>
      </c>
      <c r="J173">
        <v>2</v>
      </c>
      <c r="K173">
        <v>28000</v>
      </c>
      <c r="L173">
        <v>0.15</v>
      </c>
      <c r="M173">
        <v>52360</v>
      </c>
      <c r="N173">
        <v>16000</v>
      </c>
      <c r="O173" t="s">
        <v>23</v>
      </c>
      <c r="P173" t="s">
        <v>58</v>
      </c>
    </row>
    <row r="174" spans="1:16" x14ac:dyDescent="0.35">
      <c r="A174">
        <v>100173</v>
      </c>
      <c r="B174" s="1">
        <v>46052</v>
      </c>
      <c r="C174" t="s">
        <v>35</v>
      </c>
      <c r="D174" t="s">
        <v>36</v>
      </c>
      <c r="E174" t="s">
        <v>37</v>
      </c>
      <c r="F174" t="s">
        <v>44</v>
      </c>
      <c r="G174" t="s">
        <v>45</v>
      </c>
      <c r="H174" t="s">
        <v>179</v>
      </c>
      <c r="I174" t="s">
        <v>30</v>
      </c>
      <c r="J174">
        <v>1</v>
      </c>
      <c r="K174">
        <v>6500</v>
      </c>
      <c r="L174">
        <v>0.1</v>
      </c>
      <c r="M174">
        <v>5850</v>
      </c>
      <c r="N174">
        <v>2200</v>
      </c>
      <c r="O174" t="s">
        <v>76</v>
      </c>
      <c r="P174" t="s">
        <v>24</v>
      </c>
    </row>
    <row r="175" spans="1:16" x14ac:dyDescent="0.35">
      <c r="A175">
        <v>100174</v>
      </c>
      <c r="B175" s="1">
        <v>46237</v>
      </c>
      <c r="C175" t="s">
        <v>25</v>
      </c>
      <c r="D175" t="s">
        <v>26</v>
      </c>
      <c r="E175" t="s">
        <v>43</v>
      </c>
      <c r="F175" t="s">
        <v>44</v>
      </c>
      <c r="G175" t="s">
        <v>45</v>
      </c>
      <c r="H175" t="s">
        <v>171</v>
      </c>
      <c r="I175" t="s">
        <v>30</v>
      </c>
      <c r="J175">
        <v>2</v>
      </c>
      <c r="K175">
        <v>6500</v>
      </c>
      <c r="L175">
        <v>0.15</v>
      </c>
      <c r="M175">
        <v>11050</v>
      </c>
      <c r="N175">
        <v>2200</v>
      </c>
      <c r="O175" t="s">
        <v>23</v>
      </c>
      <c r="P175" t="s">
        <v>84</v>
      </c>
    </row>
    <row r="176" spans="1:16" x14ac:dyDescent="0.35">
      <c r="A176">
        <v>100175</v>
      </c>
      <c r="B176" s="1">
        <v>46039</v>
      </c>
      <c r="C176" t="s">
        <v>16</v>
      </c>
      <c r="D176" t="s">
        <v>17</v>
      </c>
      <c r="E176" t="s">
        <v>43</v>
      </c>
      <c r="F176" t="s">
        <v>19</v>
      </c>
      <c r="G176" t="s">
        <v>62</v>
      </c>
      <c r="H176" t="s">
        <v>179</v>
      </c>
      <c r="I176" t="s">
        <v>30</v>
      </c>
      <c r="J176">
        <v>5</v>
      </c>
      <c r="K176">
        <v>24000</v>
      </c>
      <c r="L176">
        <v>0.25</v>
      </c>
      <c r="M176">
        <v>90000</v>
      </c>
      <c r="N176">
        <v>15000</v>
      </c>
      <c r="O176" t="s">
        <v>23</v>
      </c>
      <c r="P176" t="s">
        <v>58</v>
      </c>
    </row>
    <row r="177" spans="1:16" x14ac:dyDescent="0.35">
      <c r="A177">
        <v>100176</v>
      </c>
      <c r="B177" s="1">
        <v>46255</v>
      </c>
      <c r="C177" t="s">
        <v>50</v>
      </c>
      <c r="D177" t="s">
        <v>51</v>
      </c>
      <c r="E177" t="s">
        <v>37</v>
      </c>
      <c r="F177" t="s">
        <v>44</v>
      </c>
      <c r="G177" t="s">
        <v>60</v>
      </c>
      <c r="H177" t="s">
        <v>69</v>
      </c>
      <c r="I177" t="s">
        <v>22</v>
      </c>
      <c r="J177">
        <v>2</v>
      </c>
      <c r="K177">
        <v>9000</v>
      </c>
      <c r="L177">
        <v>0.1</v>
      </c>
      <c r="M177">
        <v>16200</v>
      </c>
      <c r="N177">
        <v>3500</v>
      </c>
      <c r="O177" t="s">
        <v>23</v>
      </c>
      <c r="P177" t="s">
        <v>64</v>
      </c>
    </row>
    <row r="178" spans="1:16" x14ac:dyDescent="0.35">
      <c r="A178">
        <v>100177</v>
      </c>
      <c r="B178" s="1">
        <v>46180</v>
      </c>
      <c r="C178" t="s">
        <v>16</v>
      </c>
      <c r="D178" t="s">
        <v>17</v>
      </c>
      <c r="E178" t="s">
        <v>18</v>
      </c>
      <c r="F178" t="s">
        <v>19</v>
      </c>
      <c r="G178" t="s">
        <v>20</v>
      </c>
      <c r="H178" t="s">
        <v>68</v>
      </c>
      <c r="I178" t="s">
        <v>22</v>
      </c>
      <c r="J178">
        <v>1</v>
      </c>
      <c r="K178">
        <v>58000</v>
      </c>
      <c r="L178">
        <v>0.2</v>
      </c>
      <c r="M178">
        <v>46400</v>
      </c>
      <c r="N178">
        <v>39000</v>
      </c>
      <c r="O178" t="s">
        <v>23</v>
      </c>
      <c r="P178" t="s">
        <v>31</v>
      </c>
    </row>
    <row r="179" spans="1:16" x14ac:dyDescent="0.35">
      <c r="A179">
        <v>100178</v>
      </c>
      <c r="B179" s="1">
        <v>46095</v>
      </c>
      <c r="C179" t="s">
        <v>35</v>
      </c>
      <c r="D179" t="s">
        <v>36</v>
      </c>
      <c r="E179" t="s">
        <v>43</v>
      </c>
      <c r="F179" t="s">
        <v>44</v>
      </c>
      <c r="G179" t="s">
        <v>45</v>
      </c>
      <c r="H179" t="s">
        <v>34</v>
      </c>
      <c r="I179" t="s">
        <v>30</v>
      </c>
      <c r="J179">
        <v>2</v>
      </c>
      <c r="K179">
        <v>6500</v>
      </c>
      <c r="L179">
        <v>0.15</v>
      </c>
      <c r="M179">
        <v>11050</v>
      </c>
      <c r="O179" t="s">
        <v>23</v>
      </c>
      <c r="P179" t="s">
        <v>40</v>
      </c>
    </row>
    <row r="180" spans="1:16" x14ac:dyDescent="0.35">
      <c r="A180">
        <v>100179</v>
      </c>
      <c r="B180" s="1">
        <v>46085</v>
      </c>
      <c r="C180" t="s">
        <v>35</v>
      </c>
      <c r="D180" t="s">
        <v>36</v>
      </c>
      <c r="E180" t="s">
        <v>43</v>
      </c>
      <c r="F180" t="s">
        <v>27</v>
      </c>
      <c r="G180" t="s">
        <v>33</v>
      </c>
      <c r="H180" t="s">
        <v>180</v>
      </c>
      <c r="I180" t="s">
        <v>30</v>
      </c>
      <c r="J180">
        <v>5</v>
      </c>
      <c r="K180">
        <v>32000</v>
      </c>
      <c r="L180">
        <v>0.15</v>
      </c>
      <c r="M180">
        <v>136000</v>
      </c>
      <c r="N180">
        <v>19000</v>
      </c>
      <c r="O180" t="s">
        <v>23</v>
      </c>
      <c r="P180" t="s">
        <v>40</v>
      </c>
    </row>
    <row r="181" spans="1:16" x14ac:dyDescent="0.35">
      <c r="A181">
        <v>100180</v>
      </c>
      <c r="B181" s="1">
        <v>46167</v>
      </c>
      <c r="C181" t="s">
        <v>42</v>
      </c>
      <c r="D181" t="s">
        <v>26</v>
      </c>
      <c r="E181" t="s">
        <v>43</v>
      </c>
      <c r="F181" t="s">
        <v>44</v>
      </c>
      <c r="G181" t="s">
        <v>65</v>
      </c>
      <c r="H181" t="s">
        <v>46</v>
      </c>
      <c r="I181" t="s">
        <v>22</v>
      </c>
      <c r="J181">
        <v>3</v>
      </c>
      <c r="K181">
        <v>28000</v>
      </c>
      <c r="L181">
        <v>0.05</v>
      </c>
      <c r="M181">
        <v>79800</v>
      </c>
      <c r="N181">
        <v>16000</v>
      </c>
      <c r="O181" t="s">
        <v>23</v>
      </c>
      <c r="P181" t="s">
        <v>24</v>
      </c>
    </row>
    <row r="182" spans="1:16" x14ac:dyDescent="0.35">
      <c r="A182">
        <v>100181</v>
      </c>
      <c r="B182" s="1">
        <v>46052</v>
      </c>
      <c r="C182" t="s">
        <v>55</v>
      </c>
      <c r="D182" t="s">
        <v>56</v>
      </c>
      <c r="E182" t="s">
        <v>37</v>
      </c>
      <c r="F182" t="s">
        <v>19</v>
      </c>
      <c r="G182" t="s">
        <v>62</v>
      </c>
      <c r="H182" t="s">
        <v>181</v>
      </c>
      <c r="I182" t="s">
        <v>30</v>
      </c>
      <c r="J182">
        <v>1</v>
      </c>
      <c r="K182">
        <v>24000</v>
      </c>
      <c r="L182">
        <v>0.1</v>
      </c>
      <c r="M182">
        <v>21600</v>
      </c>
      <c r="N182">
        <v>15000</v>
      </c>
      <c r="O182" t="s">
        <v>76</v>
      </c>
      <c r="P182" t="s">
        <v>24</v>
      </c>
    </row>
    <row r="183" spans="1:16" x14ac:dyDescent="0.35">
      <c r="A183">
        <v>100182</v>
      </c>
      <c r="B183" s="1">
        <v>46094</v>
      </c>
      <c r="C183" t="s">
        <v>32</v>
      </c>
      <c r="D183" t="s">
        <v>17</v>
      </c>
      <c r="E183" t="s">
        <v>37</v>
      </c>
      <c r="F183" t="s">
        <v>44</v>
      </c>
      <c r="G183" t="s">
        <v>65</v>
      </c>
      <c r="H183" t="s">
        <v>130</v>
      </c>
      <c r="I183" t="s">
        <v>30</v>
      </c>
      <c r="J183">
        <v>2</v>
      </c>
      <c r="K183">
        <v>28000</v>
      </c>
      <c r="L183">
        <v>0.2</v>
      </c>
      <c r="M183">
        <v>44800</v>
      </c>
      <c r="N183">
        <v>16000</v>
      </c>
      <c r="O183" t="s">
        <v>76</v>
      </c>
      <c r="P183" t="s">
        <v>31</v>
      </c>
    </row>
    <row r="184" spans="1:16" x14ac:dyDescent="0.35">
      <c r="A184">
        <v>100183</v>
      </c>
      <c r="B184" s="1">
        <v>46219</v>
      </c>
      <c r="C184" t="s">
        <v>50</v>
      </c>
      <c r="D184" t="s">
        <v>51</v>
      </c>
      <c r="E184" t="s">
        <v>43</v>
      </c>
      <c r="F184" t="s">
        <v>19</v>
      </c>
      <c r="G184" t="s">
        <v>20</v>
      </c>
      <c r="H184" t="s">
        <v>182</v>
      </c>
      <c r="I184" t="s">
        <v>30</v>
      </c>
      <c r="J184">
        <v>5</v>
      </c>
      <c r="K184">
        <v>58000</v>
      </c>
      <c r="L184">
        <v>0.15</v>
      </c>
      <c r="M184">
        <v>246500</v>
      </c>
      <c r="N184">
        <v>39000</v>
      </c>
      <c r="O184" t="s">
        <v>23</v>
      </c>
      <c r="P184" t="s">
        <v>40</v>
      </c>
    </row>
    <row r="185" spans="1:16" x14ac:dyDescent="0.35">
      <c r="A185">
        <v>100184</v>
      </c>
      <c r="B185" s="1">
        <v>46044</v>
      </c>
      <c r="C185" t="s">
        <v>42</v>
      </c>
      <c r="D185" t="s">
        <v>26</v>
      </c>
      <c r="E185" t="s">
        <v>43</v>
      </c>
      <c r="F185" t="s">
        <v>19</v>
      </c>
      <c r="G185" t="s">
        <v>52</v>
      </c>
      <c r="H185" t="s">
        <v>179</v>
      </c>
      <c r="I185" t="s">
        <v>22</v>
      </c>
      <c r="J185">
        <v>1</v>
      </c>
      <c r="K185">
        <v>42000</v>
      </c>
      <c r="L185">
        <v>0</v>
      </c>
      <c r="M185">
        <v>42000</v>
      </c>
      <c r="N185">
        <v>28000</v>
      </c>
      <c r="O185" t="s">
        <v>23</v>
      </c>
      <c r="P185" t="s">
        <v>58</v>
      </c>
    </row>
    <row r="186" spans="1:16" x14ac:dyDescent="0.35">
      <c r="A186">
        <v>100185</v>
      </c>
      <c r="B186" s="1">
        <v>46035</v>
      </c>
      <c r="C186" t="s">
        <v>32</v>
      </c>
      <c r="D186" t="s">
        <v>17</v>
      </c>
      <c r="E186" t="s">
        <v>18</v>
      </c>
      <c r="F186" t="s">
        <v>19</v>
      </c>
      <c r="G186" t="s">
        <v>52</v>
      </c>
      <c r="H186" t="s">
        <v>183</v>
      </c>
      <c r="I186" t="s">
        <v>30</v>
      </c>
      <c r="J186">
        <v>2</v>
      </c>
      <c r="K186">
        <v>42000</v>
      </c>
      <c r="L186">
        <v>0.15</v>
      </c>
      <c r="M186">
        <v>71400</v>
      </c>
      <c r="N186">
        <v>28000</v>
      </c>
      <c r="O186" t="s">
        <v>23</v>
      </c>
      <c r="P186" t="s">
        <v>31</v>
      </c>
    </row>
    <row r="187" spans="1:16" x14ac:dyDescent="0.35">
      <c r="A187">
        <v>100186</v>
      </c>
      <c r="B187" s="1">
        <v>46041</v>
      </c>
      <c r="C187" t="s">
        <v>16</v>
      </c>
      <c r="D187" t="s">
        <v>17</v>
      </c>
      <c r="E187" t="s">
        <v>37</v>
      </c>
      <c r="F187" t="s">
        <v>150</v>
      </c>
      <c r="G187" t="s">
        <v>60</v>
      </c>
      <c r="H187" t="s">
        <v>140</v>
      </c>
      <c r="I187" t="s">
        <v>22</v>
      </c>
      <c r="J187">
        <v>2</v>
      </c>
      <c r="K187">
        <v>9000</v>
      </c>
      <c r="L187">
        <v>0.05</v>
      </c>
      <c r="M187">
        <v>17100</v>
      </c>
      <c r="N187">
        <v>3500</v>
      </c>
      <c r="O187" t="s">
        <v>23</v>
      </c>
      <c r="P187" t="s">
        <v>40</v>
      </c>
    </row>
    <row r="188" spans="1:16" x14ac:dyDescent="0.35">
      <c r="A188">
        <v>100187</v>
      </c>
      <c r="B188" s="1">
        <v>46025</v>
      </c>
      <c r="C188" t="s">
        <v>35</v>
      </c>
      <c r="D188" t="s">
        <v>36</v>
      </c>
      <c r="E188" t="s">
        <v>43</v>
      </c>
      <c r="F188" t="s">
        <v>19</v>
      </c>
      <c r="G188" t="s">
        <v>20</v>
      </c>
      <c r="H188" t="s">
        <v>184</v>
      </c>
      <c r="I188" t="s">
        <v>22</v>
      </c>
      <c r="J188">
        <v>2</v>
      </c>
      <c r="K188">
        <v>58000</v>
      </c>
      <c r="L188">
        <v>0.1</v>
      </c>
      <c r="M188">
        <v>104400</v>
      </c>
      <c r="N188">
        <v>39000</v>
      </c>
      <c r="O188" t="s">
        <v>23</v>
      </c>
      <c r="P188" t="s">
        <v>64</v>
      </c>
    </row>
    <row r="189" spans="1:16" x14ac:dyDescent="0.35">
      <c r="A189">
        <v>100188</v>
      </c>
      <c r="B189" s="1">
        <v>46170</v>
      </c>
      <c r="C189" t="s">
        <v>35</v>
      </c>
      <c r="D189" t="s">
        <v>36</v>
      </c>
      <c r="E189" t="s">
        <v>37</v>
      </c>
      <c r="F189" t="s">
        <v>27</v>
      </c>
      <c r="G189" t="s">
        <v>33</v>
      </c>
      <c r="H189" t="s">
        <v>144</v>
      </c>
      <c r="I189" t="s">
        <v>22</v>
      </c>
      <c r="J189">
        <v>1</v>
      </c>
      <c r="K189">
        <v>32000</v>
      </c>
      <c r="L189">
        <v>0.1</v>
      </c>
      <c r="M189">
        <v>28800</v>
      </c>
      <c r="O189" t="s">
        <v>23</v>
      </c>
      <c r="P189" t="s">
        <v>31</v>
      </c>
    </row>
    <row r="190" spans="1:16" x14ac:dyDescent="0.35">
      <c r="A190">
        <v>100189</v>
      </c>
      <c r="B190" s="1">
        <v>46136</v>
      </c>
      <c r="C190" t="s">
        <v>16</v>
      </c>
      <c r="D190" t="s">
        <v>17</v>
      </c>
      <c r="E190" t="s">
        <v>18</v>
      </c>
      <c r="F190" t="s">
        <v>44</v>
      </c>
      <c r="G190" t="s">
        <v>45</v>
      </c>
      <c r="H190" t="s">
        <v>167</v>
      </c>
      <c r="I190" t="s">
        <v>30</v>
      </c>
      <c r="J190">
        <v>1</v>
      </c>
      <c r="K190">
        <v>6500</v>
      </c>
      <c r="L190">
        <v>0.05</v>
      </c>
      <c r="M190">
        <v>6175</v>
      </c>
      <c r="N190">
        <v>2200</v>
      </c>
      <c r="O190" t="s">
        <v>23</v>
      </c>
      <c r="P190" t="s">
        <v>24</v>
      </c>
    </row>
    <row r="191" spans="1:16" x14ac:dyDescent="0.35">
      <c r="A191">
        <v>100190</v>
      </c>
      <c r="B191" s="1">
        <v>46158</v>
      </c>
      <c r="C191" t="s">
        <v>25</v>
      </c>
      <c r="D191" t="s">
        <v>26</v>
      </c>
      <c r="E191" t="s">
        <v>18</v>
      </c>
      <c r="F191" t="s">
        <v>19</v>
      </c>
      <c r="G191" t="s">
        <v>52</v>
      </c>
      <c r="H191" t="s">
        <v>66</v>
      </c>
      <c r="I191" t="s">
        <v>30</v>
      </c>
      <c r="J191">
        <v>2</v>
      </c>
      <c r="K191">
        <v>42000</v>
      </c>
      <c r="L191">
        <v>0.15</v>
      </c>
      <c r="M191">
        <v>71400</v>
      </c>
      <c r="N191">
        <v>28000</v>
      </c>
      <c r="O191" t="s">
        <v>23</v>
      </c>
      <c r="P191" t="s">
        <v>47</v>
      </c>
    </row>
    <row r="192" spans="1:16" x14ac:dyDescent="0.35">
      <c r="A192">
        <v>100191</v>
      </c>
      <c r="B192" s="1">
        <v>46051</v>
      </c>
      <c r="C192" t="s">
        <v>50</v>
      </c>
      <c r="D192" t="s">
        <v>51</v>
      </c>
      <c r="E192" t="s">
        <v>43</v>
      </c>
      <c r="F192" t="s">
        <v>44</v>
      </c>
      <c r="G192" t="s">
        <v>45</v>
      </c>
      <c r="H192" t="s">
        <v>178</v>
      </c>
      <c r="I192" t="s">
        <v>22</v>
      </c>
      <c r="J192">
        <v>3</v>
      </c>
      <c r="K192">
        <v>6500</v>
      </c>
      <c r="L192">
        <v>0.1</v>
      </c>
      <c r="M192">
        <v>17550</v>
      </c>
      <c r="N192">
        <v>2200</v>
      </c>
      <c r="O192" t="s">
        <v>23</v>
      </c>
      <c r="P192" t="s">
        <v>58</v>
      </c>
    </row>
    <row r="193" spans="1:16" x14ac:dyDescent="0.35">
      <c r="A193">
        <v>100192</v>
      </c>
      <c r="B193" s="1">
        <v>46088</v>
      </c>
      <c r="C193" t="s">
        <v>35</v>
      </c>
      <c r="D193" t="s">
        <v>36</v>
      </c>
      <c r="E193" t="s">
        <v>37</v>
      </c>
      <c r="F193" t="s">
        <v>27</v>
      </c>
      <c r="G193" t="s">
        <v>28</v>
      </c>
      <c r="H193" t="s">
        <v>134</v>
      </c>
      <c r="I193" t="s">
        <v>30</v>
      </c>
      <c r="J193">
        <v>2</v>
      </c>
      <c r="K193">
        <v>165000</v>
      </c>
      <c r="L193">
        <v>0.1</v>
      </c>
      <c r="M193">
        <v>267300</v>
      </c>
      <c r="N193">
        <v>112000</v>
      </c>
      <c r="O193" t="s">
        <v>23</v>
      </c>
      <c r="P193" t="s">
        <v>58</v>
      </c>
    </row>
    <row r="194" spans="1:16" x14ac:dyDescent="0.35">
      <c r="A194">
        <v>100193</v>
      </c>
      <c r="B194" s="1">
        <v>46226</v>
      </c>
      <c r="C194" t="s">
        <v>55</v>
      </c>
      <c r="D194" t="s">
        <v>56</v>
      </c>
      <c r="E194" t="s">
        <v>37</v>
      </c>
      <c r="F194" t="s">
        <v>27</v>
      </c>
      <c r="G194" t="s">
        <v>38</v>
      </c>
      <c r="H194" t="s">
        <v>181</v>
      </c>
      <c r="I194" t="s">
        <v>22</v>
      </c>
      <c r="J194">
        <v>3</v>
      </c>
      <c r="K194">
        <v>26000</v>
      </c>
      <c r="L194">
        <v>0.1</v>
      </c>
      <c r="M194">
        <v>70200</v>
      </c>
      <c r="N194">
        <v>15000</v>
      </c>
      <c r="O194" t="s">
        <v>23</v>
      </c>
      <c r="P194" t="s">
        <v>47</v>
      </c>
    </row>
    <row r="195" spans="1:16" x14ac:dyDescent="0.35">
      <c r="A195">
        <v>100194</v>
      </c>
      <c r="B195" s="1">
        <v>46165</v>
      </c>
      <c r="C195" t="s">
        <v>16</v>
      </c>
      <c r="D195" t="s">
        <v>17</v>
      </c>
      <c r="E195" t="s">
        <v>18</v>
      </c>
      <c r="F195" t="s">
        <v>27</v>
      </c>
      <c r="G195" t="s">
        <v>28</v>
      </c>
      <c r="H195" t="s">
        <v>133</v>
      </c>
      <c r="I195" t="s">
        <v>30</v>
      </c>
      <c r="J195">
        <v>3</v>
      </c>
      <c r="K195">
        <v>165000</v>
      </c>
      <c r="L195">
        <v>0.25</v>
      </c>
      <c r="M195">
        <v>371250</v>
      </c>
      <c r="N195">
        <v>112000</v>
      </c>
      <c r="O195" t="s">
        <v>23</v>
      </c>
      <c r="P195" t="s">
        <v>47</v>
      </c>
    </row>
    <row r="196" spans="1:16" x14ac:dyDescent="0.35">
      <c r="A196">
        <v>100195</v>
      </c>
      <c r="B196" s="1">
        <v>46109</v>
      </c>
      <c r="C196" t="s">
        <v>55</v>
      </c>
      <c r="D196" t="s">
        <v>56</v>
      </c>
      <c r="E196" t="s">
        <v>43</v>
      </c>
      <c r="F196" t="s">
        <v>19</v>
      </c>
      <c r="G196" t="s">
        <v>62</v>
      </c>
      <c r="H196" t="s">
        <v>123</v>
      </c>
      <c r="I196" t="s">
        <v>22</v>
      </c>
      <c r="J196">
        <v>2</v>
      </c>
      <c r="K196">
        <v>24000</v>
      </c>
      <c r="L196">
        <v>0.05</v>
      </c>
      <c r="M196">
        <v>45600</v>
      </c>
      <c r="N196">
        <v>15000</v>
      </c>
      <c r="O196" t="s">
        <v>23</v>
      </c>
      <c r="P196" t="s">
        <v>64</v>
      </c>
    </row>
    <row r="197" spans="1:16" x14ac:dyDescent="0.35">
      <c r="A197">
        <v>100196</v>
      </c>
      <c r="B197" s="1">
        <v>46078</v>
      </c>
      <c r="C197" t="s">
        <v>42</v>
      </c>
      <c r="D197" t="s">
        <v>185</v>
      </c>
      <c r="E197" t="s">
        <v>43</v>
      </c>
      <c r="F197" t="s">
        <v>27</v>
      </c>
      <c r="G197" t="s">
        <v>33</v>
      </c>
      <c r="H197" t="s">
        <v>186</v>
      </c>
      <c r="I197" t="s">
        <v>30</v>
      </c>
      <c r="J197">
        <v>4</v>
      </c>
      <c r="K197">
        <v>32000</v>
      </c>
      <c r="L197">
        <v>0.1</v>
      </c>
      <c r="M197">
        <v>115200</v>
      </c>
      <c r="N197">
        <v>19000</v>
      </c>
      <c r="O197" t="s">
        <v>23</v>
      </c>
      <c r="P197" t="s">
        <v>40</v>
      </c>
    </row>
    <row r="198" spans="1:16" x14ac:dyDescent="0.35">
      <c r="A198">
        <v>100197</v>
      </c>
      <c r="B198" s="1">
        <v>46235</v>
      </c>
      <c r="C198" t="s">
        <v>32</v>
      </c>
      <c r="D198" t="s">
        <v>17</v>
      </c>
      <c r="E198" t="s">
        <v>37</v>
      </c>
      <c r="F198" t="s">
        <v>44</v>
      </c>
      <c r="G198" t="s">
        <v>60</v>
      </c>
      <c r="H198" t="s">
        <v>187</v>
      </c>
      <c r="I198" t="s">
        <v>30</v>
      </c>
      <c r="J198">
        <v>1</v>
      </c>
      <c r="K198">
        <v>9000</v>
      </c>
      <c r="L198">
        <v>0.25</v>
      </c>
      <c r="M198">
        <v>6750</v>
      </c>
      <c r="N198">
        <v>3500</v>
      </c>
      <c r="O198" t="s">
        <v>76</v>
      </c>
      <c r="P198" t="s">
        <v>31</v>
      </c>
    </row>
    <row r="199" spans="1:16" x14ac:dyDescent="0.35">
      <c r="A199">
        <v>100198</v>
      </c>
      <c r="B199" s="1">
        <v>46142</v>
      </c>
      <c r="C199" t="s">
        <v>35</v>
      </c>
      <c r="D199" t="s">
        <v>36</v>
      </c>
      <c r="E199" t="s">
        <v>37</v>
      </c>
      <c r="F199" t="s">
        <v>27</v>
      </c>
      <c r="G199" t="s">
        <v>28</v>
      </c>
      <c r="H199" t="s">
        <v>118</v>
      </c>
      <c r="I199" t="s">
        <v>30</v>
      </c>
      <c r="J199">
        <v>2</v>
      </c>
      <c r="K199">
        <v>165000</v>
      </c>
      <c r="L199">
        <v>0.05</v>
      </c>
      <c r="M199">
        <v>313500</v>
      </c>
      <c r="N199">
        <v>112000</v>
      </c>
      <c r="O199" t="s">
        <v>23</v>
      </c>
      <c r="P199" t="s">
        <v>54</v>
      </c>
    </row>
    <row r="200" spans="1:16" x14ac:dyDescent="0.35">
      <c r="A200">
        <v>100199</v>
      </c>
      <c r="B200" s="1">
        <v>46170</v>
      </c>
      <c r="C200" t="s">
        <v>50</v>
      </c>
      <c r="D200" t="s">
        <v>51</v>
      </c>
      <c r="E200" t="s">
        <v>18</v>
      </c>
      <c r="F200" t="s">
        <v>44</v>
      </c>
      <c r="G200" t="s">
        <v>65</v>
      </c>
      <c r="H200" t="s">
        <v>100</v>
      </c>
      <c r="I200" t="s">
        <v>30</v>
      </c>
      <c r="J200">
        <v>2</v>
      </c>
      <c r="K200">
        <v>28000</v>
      </c>
      <c r="L200">
        <v>0.05</v>
      </c>
      <c r="M200">
        <v>53200</v>
      </c>
      <c r="N200">
        <v>16000</v>
      </c>
      <c r="O200" t="s">
        <v>23</v>
      </c>
      <c r="P200" t="s">
        <v>58</v>
      </c>
    </row>
    <row r="201" spans="1:16" x14ac:dyDescent="0.35">
      <c r="A201">
        <v>100200</v>
      </c>
      <c r="B201" s="1">
        <v>46024</v>
      </c>
      <c r="C201" t="s">
        <v>35</v>
      </c>
      <c r="D201" t="s">
        <v>36</v>
      </c>
      <c r="E201" t="s">
        <v>43</v>
      </c>
      <c r="F201" t="s">
        <v>44</v>
      </c>
      <c r="G201" t="s">
        <v>65</v>
      </c>
      <c r="H201" t="s">
        <v>125</v>
      </c>
      <c r="I201" t="s">
        <v>30</v>
      </c>
      <c r="J201">
        <v>2</v>
      </c>
      <c r="K201">
        <v>28000</v>
      </c>
      <c r="L201">
        <v>0.05</v>
      </c>
      <c r="M201">
        <v>53200</v>
      </c>
      <c r="N201">
        <v>16000</v>
      </c>
      <c r="O201" t="s">
        <v>23</v>
      </c>
      <c r="P201" t="s">
        <v>64</v>
      </c>
    </row>
    <row r="202" spans="1:16" x14ac:dyDescent="0.35">
      <c r="A202">
        <v>100201</v>
      </c>
      <c r="B202" s="1">
        <v>46075</v>
      </c>
      <c r="C202" t="s">
        <v>35</v>
      </c>
      <c r="D202" t="s">
        <v>36</v>
      </c>
      <c r="E202" t="s">
        <v>37</v>
      </c>
      <c r="F202" t="s">
        <v>44</v>
      </c>
      <c r="G202" t="s">
        <v>45</v>
      </c>
      <c r="H202" t="s">
        <v>46</v>
      </c>
      <c r="I202" t="s">
        <v>22</v>
      </c>
      <c r="J202">
        <v>4</v>
      </c>
      <c r="K202">
        <v>6500</v>
      </c>
      <c r="L202">
        <v>0</v>
      </c>
      <c r="M202">
        <v>26000</v>
      </c>
      <c r="N202">
        <v>2200</v>
      </c>
      <c r="O202" t="s">
        <v>76</v>
      </c>
      <c r="P202" t="s">
        <v>84</v>
      </c>
    </row>
    <row r="203" spans="1:16" x14ac:dyDescent="0.35">
      <c r="A203">
        <v>100202</v>
      </c>
      <c r="B203" s="1">
        <v>46228</v>
      </c>
      <c r="C203" t="s">
        <v>32</v>
      </c>
      <c r="D203" t="s">
        <v>17</v>
      </c>
      <c r="E203" t="s">
        <v>37</v>
      </c>
      <c r="F203" t="s">
        <v>44</v>
      </c>
      <c r="G203" t="s">
        <v>45</v>
      </c>
      <c r="H203" t="s">
        <v>130</v>
      </c>
      <c r="I203" t="s">
        <v>22</v>
      </c>
      <c r="J203">
        <v>1</v>
      </c>
      <c r="K203">
        <v>6500</v>
      </c>
      <c r="L203">
        <v>0.05</v>
      </c>
      <c r="M203">
        <v>6175</v>
      </c>
      <c r="N203">
        <v>2200</v>
      </c>
      <c r="O203" t="s">
        <v>23</v>
      </c>
      <c r="P203" t="s">
        <v>54</v>
      </c>
    </row>
    <row r="204" spans="1:16" x14ac:dyDescent="0.35">
      <c r="A204">
        <v>100203</v>
      </c>
      <c r="B204" s="1">
        <v>46151</v>
      </c>
      <c r="C204" t="s">
        <v>32</v>
      </c>
      <c r="D204" t="s">
        <v>17</v>
      </c>
      <c r="E204" t="s">
        <v>43</v>
      </c>
      <c r="F204" t="s">
        <v>27</v>
      </c>
      <c r="G204" t="s">
        <v>28</v>
      </c>
      <c r="H204" t="s">
        <v>154</v>
      </c>
      <c r="I204" t="s">
        <v>30</v>
      </c>
      <c r="J204">
        <v>1</v>
      </c>
      <c r="K204">
        <v>165000</v>
      </c>
      <c r="L204">
        <v>0.25</v>
      </c>
      <c r="M204">
        <v>123750</v>
      </c>
      <c r="N204">
        <v>112000</v>
      </c>
      <c r="O204" t="s">
        <v>23</v>
      </c>
      <c r="P204" t="s">
        <v>64</v>
      </c>
    </row>
    <row r="205" spans="1:16" x14ac:dyDescent="0.35">
      <c r="A205">
        <v>100204</v>
      </c>
      <c r="B205" s="1">
        <v>46099</v>
      </c>
      <c r="C205" t="s">
        <v>16</v>
      </c>
      <c r="D205" t="s">
        <v>17</v>
      </c>
      <c r="E205" t="s">
        <v>43</v>
      </c>
      <c r="F205" t="s">
        <v>44</v>
      </c>
      <c r="G205" t="s">
        <v>60</v>
      </c>
      <c r="H205" t="s">
        <v>145</v>
      </c>
      <c r="I205" t="s">
        <v>30</v>
      </c>
      <c r="J205">
        <v>3</v>
      </c>
      <c r="K205">
        <v>9000</v>
      </c>
      <c r="L205">
        <v>0.25</v>
      </c>
      <c r="M205">
        <v>20250</v>
      </c>
      <c r="N205">
        <v>3500</v>
      </c>
      <c r="O205" t="s">
        <v>23</v>
      </c>
      <c r="P205" t="s">
        <v>54</v>
      </c>
    </row>
    <row r="206" spans="1:16" x14ac:dyDescent="0.35">
      <c r="A206">
        <v>100205</v>
      </c>
      <c r="B206" s="1">
        <v>46032</v>
      </c>
      <c r="C206" t="s">
        <v>55</v>
      </c>
      <c r="D206" t="s">
        <v>56</v>
      </c>
      <c r="E206" t="s">
        <v>37</v>
      </c>
      <c r="F206" t="s">
        <v>19</v>
      </c>
      <c r="G206" t="s">
        <v>62</v>
      </c>
      <c r="H206" t="s">
        <v>188</v>
      </c>
      <c r="I206" t="s">
        <v>22</v>
      </c>
      <c r="J206">
        <v>5</v>
      </c>
      <c r="K206">
        <v>24000</v>
      </c>
      <c r="L206">
        <v>0.1</v>
      </c>
      <c r="M206">
        <v>108000</v>
      </c>
      <c r="N206">
        <v>15000</v>
      </c>
      <c r="O206" t="s">
        <v>23</v>
      </c>
      <c r="P206" t="s">
        <v>40</v>
      </c>
    </row>
    <row r="207" spans="1:16" x14ac:dyDescent="0.35">
      <c r="A207">
        <v>100206</v>
      </c>
      <c r="B207" s="1">
        <v>46244</v>
      </c>
      <c r="C207" t="s">
        <v>42</v>
      </c>
      <c r="D207" t="s">
        <v>26</v>
      </c>
      <c r="E207" t="s">
        <v>18</v>
      </c>
      <c r="F207" t="s">
        <v>19</v>
      </c>
      <c r="G207" t="s">
        <v>20</v>
      </c>
      <c r="H207" t="s">
        <v>130</v>
      </c>
      <c r="I207" t="s">
        <v>22</v>
      </c>
      <c r="J207">
        <v>1</v>
      </c>
      <c r="K207">
        <v>58000</v>
      </c>
      <c r="L207">
        <v>0.15</v>
      </c>
      <c r="M207">
        <v>49300</v>
      </c>
      <c r="N207">
        <v>39000</v>
      </c>
      <c r="O207" t="s">
        <v>23</v>
      </c>
      <c r="P207" t="s">
        <v>84</v>
      </c>
    </row>
    <row r="208" spans="1:16" x14ac:dyDescent="0.35">
      <c r="A208">
        <v>100207</v>
      </c>
      <c r="B208" s="1">
        <v>46112</v>
      </c>
      <c r="C208" t="s">
        <v>50</v>
      </c>
      <c r="D208" t="s">
        <v>51</v>
      </c>
      <c r="E208" t="s">
        <v>43</v>
      </c>
      <c r="F208" t="s">
        <v>27</v>
      </c>
      <c r="G208" t="s">
        <v>28</v>
      </c>
      <c r="H208" t="s">
        <v>135</v>
      </c>
      <c r="I208" t="s">
        <v>30</v>
      </c>
      <c r="J208">
        <v>1</v>
      </c>
      <c r="K208">
        <v>165000</v>
      </c>
      <c r="L208">
        <v>0.1</v>
      </c>
      <c r="M208">
        <v>148500</v>
      </c>
      <c r="N208">
        <v>112000</v>
      </c>
      <c r="O208" t="s">
        <v>23</v>
      </c>
      <c r="P208" t="s">
        <v>31</v>
      </c>
    </row>
    <row r="209" spans="1:16" x14ac:dyDescent="0.35">
      <c r="A209">
        <v>100208</v>
      </c>
      <c r="B209" s="1">
        <v>46100</v>
      </c>
      <c r="C209" t="s">
        <v>16</v>
      </c>
      <c r="D209" t="s">
        <v>17</v>
      </c>
      <c r="E209" t="s">
        <v>43</v>
      </c>
      <c r="F209" t="s">
        <v>19</v>
      </c>
      <c r="G209" t="s">
        <v>20</v>
      </c>
      <c r="H209" t="s">
        <v>157</v>
      </c>
      <c r="I209" t="s">
        <v>30</v>
      </c>
      <c r="J209">
        <v>2</v>
      </c>
      <c r="K209">
        <v>58000</v>
      </c>
      <c r="L209">
        <v>0.15</v>
      </c>
      <c r="M209">
        <v>98600</v>
      </c>
      <c r="O209" t="s">
        <v>23</v>
      </c>
      <c r="P209" t="s">
        <v>31</v>
      </c>
    </row>
    <row r="210" spans="1:16" x14ac:dyDescent="0.35">
      <c r="A210">
        <v>100209</v>
      </c>
      <c r="B210" s="1">
        <v>46207</v>
      </c>
      <c r="C210" t="s">
        <v>35</v>
      </c>
      <c r="D210" t="s">
        <v>36</v>
      </c>
      <c r="E210" t="s">
        <v>43</v>
      </c>
      <c r="F210" t="s">
        <v>27</v>
      </c>
      <c r="G210" t="s">
        <v>38</v>
      </c>
      <c r="H210" t="s">
        <v>147</v>
      </c>
      <c r="I210" t="s">
        <v>30</v>
      </c>
      <c r="J210">
        <v>3</v>
      </c>
      <c r="K210">
        <v>26000</v>
      </c>
      <c r="L210">
        <v>0</v>
      </c>
      <c r="M210">
        <v>78000</v>
      </c>
      <c r="N210">
        <v>15000</v>
      </c>
      <c r="O210" t="s">
        <v>23</v>
      </c>
      <c r="P210" t="s">
        <v>31</v>
      </c>
    </row>
    <row r="211" spans="1:16" x14ac:dyDescent="0.35">
      <c r="A211">
        <v>100210</v>
      </c>
      <c r="B211" s="1">
        <v>46239</v>
      </c>
      <c r="C211" t="s">
        <v>55</v>
      </c>
      <c r="D211" t="s">
        <v>56</v>
      </c>
      <c r="E211" t="s">
        <v>43</v>
      </c>
      <c r="F211" t="s">
        <v>27</v>
      </c>
      <c r="G211" t="s">
        <v>33</v>
      </c>
      <c r="H211" t="s">
        <v>172</v>
      </c>
      <c r="I211" t="s">
        <v>30</v>
      </c>
      <c r="J211">
        <v>1</v>
      </c>
      <c r="K211">
        <v>32000</v>
      </c>
      <c r="L211">
        <v>0</v>
      </c>
      <c r="M211">
        <v>32000</v>
      </c>
      <c r="N211">
        <v>19000</v>
      </c>
      <c r="O211" t="s">
        <v>23</v>
      </c>
      <c r="P211" t="s">
        <v>40</v>
      </c>
    </row>
    <row r="212" spans="1:16" x14ac:dyDescent="0.35">
      <c r="A212">
        <v>100211</v>
      </c>
      <c r="B212" s="1">
        <v>46260</v>
      </c>
      <c r="C212" t="s">
        <v>35</v>
      </c>
      <c r="D212" t="s">
        <v>36</v>
      </c>
      <c r="E212" t="s">
        <v>43</v>
      </c>
      <c r="F212" t="s">
        <v>19</v>
      </c>
      <c r="G212" t="s">
        <v>52</v>
      </c>
      <c r="H212" t="s">
        <v>96</v>
      </c>
      <c r="I212" t="s">
        <v>30</v>
      </c>
      <c r="J212">
        <v>4</v>
      </c>
      <c r="K212">
        <v>42000</v>
      </c>
      <c r="L212">
        <v>0</v>
      </c>
      <c r="M212">
        <v>168000</v>
      </c>
      <c r="N212">
        <v>28000</v>
      </c>
      <c r="O212" t="s">
        <v>23</v>
      </c>
      <c r="P212" t="s">
        <v>54</v>
      </c>
    </row>
    <row r="213" spans="1:16" x14ac:dyDescent="0.35">
      <c r="A213">
        <v>100212</v>
      </c>
      <c r="B213" s="1">
        <v>46117</v>
      </c>
      <c r="C213" t="s">
        <v>50</v>
      </c>
      <c r="D213" t="s">
        <v>51</v>
      </c>
      <c r="E213" t="s">
        <v>37</v>
      </c>
      <c r="F213" t="s">
        <v>19</v>
      </c>
      <c r="G213" t="s">
        <v>62</v>
      </c>
      <c r="H213" t="s">
        <v>110</v>
      </c>
      <c r="I213" t="s">
        <v>30</v>
      </c>
      <c r="J213">
        <v>2</v>
      </c>
      <c r="K213">
        <v>24000</v>
      </c>
      <c r="L213">
        <v>0.15</v>
      </c>
      <c r="M213">
        <v>40800</v>
      </c>
      <c r="N213">
        <v>15000</v>
      </c>
      <c r="O213" t="s">
        <v>23</v>
      </c>
      <c r="P213" t="s">
        <v>64</v>
      </c>
    </row>
    <row r="214" spans="1:16" x14ac:dyDescent="0.35">
      <c r="A214">
        <v>100213</v>
      </c>
      <c r="B214" s="1">
        <v>46023</v>
      </c>
      <c r="C214" t="s">
        <v>16</v>
      </c>
      <c r="D214" t="s">
        <v>17</v>
      </c>
      <c r="E214" t="s">
        <v>43</v>
      </c>
      <c r="F214" t="s">
        <v>27</v>
      </c>
      <c r="G214" t="s">
        <v>28</v>
      </c>
      <c r="H214" t="s">
        <v>189</v>
      </c>
      <c r="I214" t="s">
        <v>22</v>
      </c>
      <c r="J214">
        <v>2</v>
      </c>
      <c r="K214">
        <v>165000</v>
      </c>
      <c r="L214">
        <v>0.15</v>
      </c>
      <c r="M214">
        <v>280500</v>
      </c>
      <c r="O214" t="s">
        <v>23</v>
      </c>
      <c r="P214" t="s">
        <v>54</v>
      </c>
    </row>
    <row r="215" spans="1:16" x14ac:dyDescent="0.35">
      <c r="A215">
        <v>100214</v>
      </c>
      <c r="B215" s="1">
        <v>46086</v>
      </c>
      <c r="C215" t="s">
        <v>25</v>
      </c>
      <c r="D215" t="s">
        <v>26</v>
      </c>
      <c r="E215" t="s">
        <v>43</v>
      </c>
      <c r="F215" t="s">
        <v>44</v>
      </c>
      <c r="G215" t="s">
        <v>45</v>
      </c>
      <c r="H215" t="s">
        <v>183</v>
      </c>
      <c r="I215" t="s">
        <v>22</v>
      </c>
      <c r="J215">
        <v>2</v>
      </c>
      <c r="K215">
        <v>6500</v>
      </c>
      <c r="L215">
        <v>0.05</v>
      </c>
      <c r="M215">
        <v>12350</v>
      </c>
      <c r="N215">
        <v>2200</v>
      </c>
      <c r="O215" t="s">
        <v>23</v>
      </c>
      <c r="P215" t="s">
        <v>40</v>
      </c>
    </row>
    <row r="216" spans="1:16" x14ac:dyDescent="0.35">
      <c r="A216">
        <v>100215</v>
      </c>
      <c r="B216" s="1">
        <v>46128</v>
      </c>
      <c r="C216" t="s">
        <v>35</v>
      </c>
      <c r="D216" t="s">
        <v>36</v>
      </c>
      <c r="E216" t="s">
        <v>43</v>
      </c>
      <c r="F216" t="s">
        <v>27</v>
      </c>
      <c r="G216" t="s">
        <v>38</v>
      </c>
      <c r="H216" t="s">
        <v>118</v>
      </c>
      <c r="I216" t="s">
        <v>22</v>
      </c>
      <c r="J216">
        <v>3</v>
      </c>
      <c r="K216">
        <v>26000</v>
      </c>
      <c r="L216">
        <v>0</v>
      </c>
      <c r="M216">
        <v>78000</v>
      </c>
      <c r="N216">
        <v>15000</v>
      </c>
      <c r="O216" t="s">
        <v>23</v>
      </c>
      <c r="P216" t="s">
        <v>40</v>
      </c>
    </row>
    <row r="217" spans="1:16" x14ac:dyDescent="0.35">
      <c r="A217">
        <v>100216</v>
      </c>
      <c r="B217" s="1">
        <v>46161</v>
      </c>
      <c r="C217" t="s">
        <v>25</v>
      </c>
      <c r="D217" t="s">
        <v>26</v>
      </c>
      <c r="E217" t="s">
        <v>37</v>
      </c>
      <c r="F217" t="s">
        <v>44</v>
      </c>
      <c r="G217" t="s">
        <v>45</v>
      </c>
      <c r="H217" t="s">
        <v>157</v>
      </c>
      <c r="I217" t="s">
        <v>22</v>
      </c>
      <c r="J217">
        <v>4</v>
      </c>
      <c r="K217">
        <v>6500</v>
      </c>
      <c r="L217">
        <v>0</v>
      </c>
      <c r="M217">
        <v>26000</v>
      </c>
      <c r="N217">
        <v>2200</v>
      </c>
      <c r="O217" t="s">
        <v>23</v>
      </c>
      <c r="P217" t="s">
        <v>24</v>
      </c>
    </row>
    <row r="218" spans="1:16" x14ac:dyDescent="0.35">
      <c r="A218">
        <v>100217</v>
      </c>
      <c r="B218" s="1">
        <v>46198</v>
      </c>
      <c r="C218" t="s">
        <v>42</v>
      </c>
      <c r="D218" t="s">
        <v>26</v>
      </c>
      <c r="E218" t="s">
        <v>37</v>
      </c>
      <c r="F218" t="s">
        <v>19</v>
      </c>
      <c r="G218" t="s">
        <v>62</v>
      </c>
      <c r="H218" t="s">
        <v>190</v>
      </c>
      <c r="I218" t="s">
        <v>30</v>
      </c>
      <c r="J218">
        <v>2</v>
      </c>
      <c r="K218">
        <v>24000</v>
      </c>
      <c r="L218">
        <v>0.05</v>
      </c>
      <c r="M218">
        <v>45600</v>
      </c>
      <c r="N218">
        <v>15000</v>
      </c>
      <c r="O218" t="s">
        <v>23</v>
      </c>
      <c r="P218" t="s">
        <v>54</v>
      </c>
    </row>
    <row r="219" spans="1:16" x14ac:dyDescent="0.35">
      <c r="A219">
        <v>100218</v>
      </c>
      <c r="B219" s="1">
        <v>46120</v>
      </c>
      <c r="C219" t="s">
        <v>42</v>
      </c>
      <c r="D219" t="s">
        <v>26</v>
      </c>
      <c r="E219" t="s">
        <v>18</v>
      </c>
      <c r="F219" t="s">
        <v>19</v>
      </c>
      <c r="G219" t="s">
        <v>20</v>
      </c>
      <c r="H219" t="s">
        <v>149</v>
      </c>
      <c r="I219" t="s">
        <v>22</v>
      </c>
      <c r="J219">
        <v>3</v>
      </c>
      <c r="K219">
        <v>58000</v>
      </c>
      <c r="L219">
        <v>0.05</v>
      </c>
      <c r="M219">
        <v>165300</v>
      </c>
      <c r="N219">
        <v>39000</v>
      </c>
      <c r="O219" t="s">
        <v>23</v>
      </c>
      <c r="P219" t="s">
        <v>54</v>
      </c>
    </row>
    <row r="220" spans="1:16" x14ac:dyDescent="0.35">
      <c r="A220">
        <v>100219</v>
      </c>
      <c r="B220" s="1">
        <v>46253</v>
      </c>
      <c r="C220" t="s">
        <v>55</v>
      </c>
      <c r="D220" t="s">
        <v>56</v>
      </c>
      <c r="E220" t="s">
        <v>43</v>
      </c>
      <c r="F220" t="s">
        <v>19</v>
      </c>
      <c r="G220" t="s">
        <v>20</v>
      </c>
      <c r="H220" t="s">
        <v>191</v>
      </c>
      <c r="I220" t="s">
        <v>30</v>
      </c>
      <c r="J220">
        <v>5</v>
      </c>
      <c r="K220">
        <v>58000</v>
      </c>
      <c r="L220">
        <v>0.15</v>
      </c>
      <c r="M220">
        <v>246500</v>
      </c>
      <c r="N220">
        <v>39000</v>
      </c>
      <c r="O220" t="s">
        <v>23</v>
      </c>
      <c r="P220" t="s">
        <v>40</v>
      </c>
    </row>
    <row r="221" spans="1:16" x14ac:dyDescent="0.35">
      <c r="A221">
        <v>100220</v>
      </c>
      <c r="B221" s="1">
        <v>46024</v>
      </c>
      <c r="C221" t="s">
        <v>35</v>
      </c>
      <c r="D221" t="s">
        <v>36</v>
      </c>
      <c r="E221" t="s">
        <v>18</v>
      </c>
      <c r="F221" t="s">
        <v>27</v>
      </c>
      <c r="G221" t="s">
        <v>38</v>
      </c>
      <c r="H221" t="s">
        <v>124</v>
      </c>
      <c r="I221" t="s">
        <v>30</v>
      </c>
      <c r="J221">
        <v>2</v>
      </c>
      <c r="K221">
        <v>26000</v>
      </c>
      <c r="L221">
        <v>0</v>
      </c>
      <c r="M221">
        <v>52000</v>
      </c>
      <c r="N221">
        <v>15000</v>
      </c>
      <c r="O221" t="s">
        <v>23</v>
      </c>
      <c r="P221" t="s">
        <v>24</v>
      </c>
    </row>
    <row r="222" spans="1:16" x14ac:dyDescent="0.35">
      <c r="A222">
        <v>100221</v>
      </c>
      <c r="B222" s="1">
        <v>46111</v>
      </c>
      <c r="C222" t="s">
        <v>50</v>
      </c>
      <c r="D222" t="s">
        <v>51</v>
      </c>
      <c r="E222" t="s">
        <v>43</v>
      </c>
      <c r="F222" t="s">
        <v>44</v>
      </c>
      <c r="G222" t="s">
        <v>65</v>
      </c>
      <c r="H222" t="s">
        <v>159</v>
      </c>
      <c r="I222" t="s">
        <v>30</v>
      </c>
      <c r="J222">
        <v>3</v>
      </c>
      <c r="K222">
        <v>28000</v>
      </c>
      <c r="L222">
        <v>0.1</v>
      </c>
      <c r="M222">
        <v>75600</v>
      </c>
      <c r="N222">
        <v>16000</v>
      </c>
      <c r="O222" t="s">
        <v>23</v>
      </c>
      <c r="P222" t="s">
        <v>54</v>
      </c>
    </row>
    <row r="223" spans="1:16" x14ac:dyDescent="0.35">
      <c r="A223">
        <v>100222</v>
      </c>
      <c r="B223" s="1">
        <v>46255</v>
      </c>
      <c r="C223" t="s">
        <v>16</v>
      </c>
      <c r="D223" t="s">
        <v>17</v>
      </c>
      <c r="E223" t="s">
        <v>18</v>
      </c>
      <c r="F223" t="s">
        <v>19</v>
      </c>
      <c r="G223" t="s">
        <v>20</v>
      </c>
      <c r="H223" t="s">
        <v>192</v>
      </c>
      <c r="I223" t="s">
        <v>22</v>
      </c>
      <c r="J223">
        <v>3</v>
      </c>
      <c r="K223">
        <v>58000</v>
      </c>
      <c r="L223">
        <v>0.25</v>
      </c>
      <c r="M223">
        <v>130500</v>
      </c>
      <c r="O223" t="s">
        <v>76</v>
      </c>
      <c r="P223" t="s">
        <v>64</v>
      </c>
    </row>
    <row r="224" spans="1:16" x14ac:dyDescent="0.35">
      <c r="A224">
        <v>100223</v>
      </c>
      <c r="B224" s="1">
        <v>46165</v>
      </c>
      <c r="C224" t="s">
        <v>55</v>
      </c>
      <c r="D224" t="s">
        <v>56</v>
      </c>
      <c r="E224" t="s">
        <v>18</v>
      </c>
      <c r="F224" t="s">
        <v>19</v>
      </c>
      <c r="G224" t="s">
        <v>52</v>
      </c>
      <c r="H224" t="s">
        <v>193</v>
      </c>
      <c r="I224" t="s">
        <v>30</v>
      </c>
      <c r="J224">
        <v>3</v>
      </c>
      <c r="K224">
        <v>42000</v>
      </c>
      <c r="L224">
        <v>0.15</v>
      </c>
      <c r="M224">
        <v>107100</v>
      </c>
      <c r="N224">
        <v>28000</v>
      </c>
      <c r="O224" t="s">
        <v>23</v>
      </c>
      <c r="P224" t="s">
        <v>58</v>
      </c>
    </row>
    <row r="225" spans="1:16" x14ac:dyDescent="0.35">
      <c r="A225">
        <v>100224</v>
      </c>
      <c r="B225" s="1">
        <v>46149</v>
      </c>
      <c r="C225" t="s">
        <v>42</v>
      </c>
      <c r="D225" t="s">
        <v>26</v>
      </c>
      <c r="E225" t="s">
        <v>37</v>
      </c>
      <c r="F225" t="s">
        <v>27</v>
      </c>
      <c r="G225" t="s">
        <v>33</v>
      </c>
      <c r="H225" t="s">
        <v>175</v>
      </c>
      <c r="I225" t="s">
        <v>30</v>
      </c>
      <c r="J225">
        <v>1</v>
      </c>
      <c r="K225">
        <v>32000</v>
      </c>
      <c r="L225">
        <v>0.1</v>
      </c>
      <c r="M225">
        <v>28800</v>
      </c>
      <c r="N225">
        <v>19000</v>
      </c>
      <c r="O225" t="s">
        <v>23</v>
      </c>
      <c r="P225" t="s">
        <v>40</v>
      </c>
    </row>
    <row r="226" spans="1:16" x14ac:dyDescent="0.35">
      <c r="A226">
        <v>100225</v>
      </c>
      <c r="B226" s="1">
        <v>46079</v>
      </c>
      <c r="C226" t="s">
        <v>35</v>
      </c>
      <c r="D226" t="s">
        <v>36</v>
      </c>
      <c r="E226" t="s">
        <v>37</v>
      </c>
      <c r="F226" t="s">
        <v>19</v>
      </c>
      <c r="G226" t="s">
        <v>62</v>
      </c>
      <c r="H226" t="s">
        <v>194</v>
      </c>
      <c r="I226" t="s">
        <v>22</v>
      </c>
      <c r="J226">
        <v>1</v>
      </c>
      <c r="K226">
        <v>24000</v>
      </c>
      <c r="L226">
        <v>0.05</v>
      </c>
      <c r="M226">
        <v>22800</v>
      </c>
      <c r="N226">
        <v>15000</v>
      </c>
      <c r="O226" t="s">
        <v>23</v>
      </c>
      <c r="P226" t="s">
        <v>31</v>
      </c>
    </row>
    <row r="227" spans="1:16" x14ac:dyDescent="0.35">
      <c r="A227">
        <v>100226</v>
      </c>
      <c r="B227" s="1">
        <v>46054</v>
      </c>
      <c r="C227" t="s">
        <v>50</v>
      </c>
      <c r="D227" t="s">
        <v>51</v>
      </c>
      <c r="E227" t="s">
        <v>43</v>
      </c>
      <c r="F227" t="s">
        <v>19</v>
      </c>
      <c r="G227" t="s">
        <v>62</v>
      </c>
      <c r="H227" t="s">
        <v>117</v>
      </c>
      <c r="I227" t="s">
        <v>30</v>
      </c>
      <c r="J227">
        <v>1</v>
      </c>
      <c r="K227">
        <v>24000</v>
      </c>
      <c r="L227">
        <v>0.05</v>
      </c>
      <c r="M227">
        <v>22800</v>
      </c>
      <c r="N227">
        <v>15000</v>
      </c>
      <c r="O227" t="s">
        <v>23</v>
      </c>
      <c r="P227" t="s">
        <v>54</v>
      </c>
    </row>
    <row r="228" spans="1:16" x14ac:dyDescent="0.35">
      <c r="A228">
        <v>100227</v>
      </c>
      <c r="B228" s="1">
        <v>46114</v>
      </c>
      <c r="C228" t="s">
        <v>55</v>
      </c>
      <c r="D228" t="s">
        <v>56</v>
      </c>
      <c r="E228" t="s">
        <v>43</v>
      </c>
      <c r="F228" t="s">
        <v>19</v>
      </c>
      <c r="G228" t="s">
        <v>20</v>
      </c>
      <c r="H228" t="s">
        <v>195</v>
      </c>
      <c r="I228" t="s">
        <v>30</v>
      </c>
      <c r="J228">
        <v>2</v>
      </c>
      <c r="K228">
        <v>58000</v>
      </c>
      <c r="L228">
        <v>0</v>
      </c>
      <c r="M228">
        <v>116000</v>
      </c>
      <c r="N228">
        <v>39000</v>
      </c>
      <c r="O228" t="s">
        <v>23</v>
      </c>
      <c r="P228" t="s">
        <v>84</v>
      </c>
    </row>
    <row r="229" spans="1:16" x14ac:dyDescent="0.35">
      <c r="A229">
        <v>100228</v>
      </c>
      <c r="B229" s="1">
        <v>46099</v>
      </c>
      <c r="C229" t="s">
        <v>25</v>
      </c>
      <c r="D229" t="s">
        <v>26</v>
      </c>
      <c r="E229" t="s">
        <v>43</v>
      </c>
      <c r="F229" t="s">
        <v>27</v>
      </c>
      <c r="G229" t="s">
        <v>33</v>
      </c>
      <c r="H229" t="s">
        <v>59</v>
      </c>
      <c r="I229" t="s">
        <v>22</v>
      </c>
      <c r="J229">
        <v>3</v>
      </c>
      <c r="K229">
        <v>32000</v>
      </c>
      <c r="L229">
        <v>0.15</v>
      </c>
      <c r="M229">
        <v>81600</v>
      </c>
      <c r="N229">
        <v>19000</v>
      </c>
      <c r="O229" t="s">
        <v>23</v>
      </c>
      <c r="P229" t="s">
        <v>24</v>
      </c>
    </row>
    <row r="230" spans="1:16" x14ac:dyDescent="0.35">
      <c r="A230">
        <v>100229</v>
      </c>
      <c r="B230" s="1">
        <v>46212</v>
      </c>
      <c r="C230" t="s">
        <v>35</v>
      </c>
      <c r="D230" t="s">
        <v>36</v>
      </c>
      <c r="E230" t="s">
        <v>37</v>
      </c>
      <c r="F230" t="s">
        <v>19</v>
      </c>
      <c r="G230" t="s">
        <v>20</v>
      </c>
      <c r="H230" t="s">
        <v>194</v>
      </c>
      <c r="I230" t="s">
        <v>30</v>
      </c>
      <c r="J230">
        <v>1</v>
      </c>
      <c r="K230">
        <v>58000</v>
      </c>
      <c r="L230">
        <v>0.1</v>
      </c>
      <c r="M230">
        <v>52200</v>
      </c>
      <c r="N230">
        <v>39000</v>
      </c>
      <c r="O230" t="s">
        <v>23</v>
      </c>
      <c r="P230" t="s">
        <v>24</v>
      </c>
    </row>
    <row r="231" spans="1:16" x14ac:dyDescent="0.35">
      <c r="A231">
        <v>100230</v>
      </c>
      <c r="B231" s="1">
        <v>46141</v>
      </c>
      <c r="C231" t="s">
        <v>35</v>
      </c>
      <c r="D231" t="s">
        <v>36</v>
      </c>
      <c r="E231" t="s">
        <v>43</v>
      </c>
      <c r="F231" t="s">
        <v>27</v>
      </c>
      <c r="G231" t="s">
        <v>38</v>
      </c>
      <c r="H231" t="s">
        <v>109</v>
      </c>
      <c r="I231" t="s">
        <v>30</v>
      </c>
      <c r="J231">
        <v>3</v>
      </c>
      <c r="K231">
        <v>26000</v>
      </c>
      <c r="L231">
        <v>0.15</v>
      </c>
      <c r="M231">
        <v>66300</v>
      </c>
      <c r="N231">
        <v>15000</v>
      </c>
      <c r="O231" t="s">
        <v>23</v>
      </c>
      <c r="P231" t="s">
        <v>84</v>
      </c>
    </row>
    <row r="232" spans="1:16" x14ac:dyDescent="0.35">
      <c r="A232">
        <v>100231</v>
      </c>
      <c r="B232" s="1">
        <v>46109</v>
      </c>
      <c r="C232" t="s">
        <v>32</v>
      </c>
      <c r="D232" t="s">
        <v>17</v>
      </c>
      <c r="E232" t="s">
        <v>18</v>
      </c>
      <c r="F232" t="s">
        <v>27</v>
      </c>
      <c r="G232" t="s">
        <v>28</v>
      </c>
      <c r="H232" t="s">
        <v>196</v>
      </c>
      <c r="I232" t="s">
        <v>30</v>
      </c>
      <c r="J232">
        <v>1</v>
      </c>
      <c r="K232">
        <v>165000</v>
      </c>
      <c r="L232">
        <v>0.2</v>
      </c>
      <c r="M232">
        <v>132000</v>
      </c>
      <c r="N232">
        <v>112000</v>
      </c>
      <c r="O232" t="s">
        <v>23</v>
      </c>
      <c r="P232" t="s">
        <v>40</v>
      </c>
    </row>
    <row r="233" spans="1:16" x14ac:dyDescent="0.35">
      <c r="A233">
        <v>100232</v>
      </c>
      <c r="B233" s="1">
        <v>46237</v>
      </c>
      <c r="C233" t="s">
        <v>25</v>
      </c>
      <c r="D233" t="s">
        <v>26</v>
      </c>
      <c r="E233" t="s">
        <v>43</v>
      </c>
      <c r="F233" t="s">
        <v>27</v>
      </c>
      <c r="G233" t="s">
        <v>28</v>
      </c>
      <c r="H233" t="s">
        <v>59</v>
      </c>
      <c r="I233" t="s">
        <v>22</v>
      </c>
      <c r="J233">
        <v>1</v>
      </c>
      <c r="K233">
        <v>165000</v>
      </c>
      <c r="L233">
        <v>0.1</v>
      </c>
      <c r="M233">
        <v>148500</v>
      </c>
      <c r="N233">
        <v>112000</v>
      </c>
      <c r="O233" t="s">
        <v>76</v>
      </c>
      <c r="P233" t="s">
        <v>58</v>
      </c>
    </row>
    <row r="234" spans="1:16" x14ac:dyDescent="0.35">
      <c r="A234">
        <v>100233</v>
      </c>
      <c r="B234" s="1">
        <v>46030</v>
      </c>
      <c r="C234" t="s">
        <v>50</v>
      </c>
      <c r="D234" t="s">
        <v>51</v>
      </c>
      <c r="E234" t="s">
        <v>43</v>
      </c>
      <c r="F234" t="s">
        <v>44</v>
      </c>
      <c r="G234" t="s">
        <v>60</v>
      </c>
      <c r="H234" t="s">
        <v>130</v>
      </c>
      <c r="I234" t="s">
        <v>30</v>
      </c>
      <c r="J234">
        <v>3</v>
      </c>
      <c r="K234">
        <v>9000</v>
      </c>
      <c r="L234">
        <v>0.15</v>
      </c>
      <c r="M234">
        <v>27540</v>
      </c>
      <c r="N234">
        <v>3500</v>
      </c>
      <c r="O234" t="s">
        <v>23</v>
      </c>
      <c r="P234" t="s">
        <v>58</v>
      </c>
    </row>
    <row r="235" spans="1:16" x14ac:dyDescent="0.35">
      <c r="A235">
        <v>100234</v>
      </c>
      <c r="B235" s="1">
        <v>46043</v>
      </c>
      <c r="C235" t="s">
        <v>35</v>
      </c>
      <c r="D235" t="s">
        <v>36</v>
      </c>
      <c r="E235" t="s">
        <v>37</v>
      </c>
      <c r="F235" t="s">
        <v>44</v>
      </c>
      <c r="G235" t="s">
        <v>60</v>
      </c>
      <c r="H235" t="s">
        <v>148</v>
      </c>
      <c r="I235" t="s">
        <v>22</v>
      </c>
      <c r="J235">
        <v>2</v>
      </c>
      <c r="K235">
        <v>9000</v>
      </c>
      <c r="L235">
        <v>0.1</v>
      </c>
      <c r="M235">
        <v>16200</v>
      </c>
      <c r="N235">
        <v>3500</v>
      </c>
      <c r="O235" t="s">
        <v>23</v>
      </c>
      <c r="P235" t="s">
        <v>47</v>
      </c>
    </row>
    <row r="236" spans="1:16" x14ac:dyDescent="0.35">
      <c r="A236">
        <v>100235</v>
      </c>
      <c r="B236" s="1">
        <v>46164</v>
      </c>
      <c r="C236" t="s">
        <v>50</v>
      </c>
      <c r="D236" t="s">
        <v>51</v>
      </c>
      <c r="E236" t="s">
        <v>18</v>
      </c>
      <c r="F236" t="s">
        <v>19</v>
      </c>
      <c r="G236" t="s">
        <v>62</v>
      </c>
      <c r="H236" t="s">
        <v>197</v>
      </c>
      <c r="I236" t="s">
        <v>22</v>
      </c>
      <c r="J236">
        <v>2</v>
      </c>
      <c r="K236">
        <v>24000</v>
      </c>
      <c r="L236">
        <v>0.1</v>
      </c>
      <c r="M236">
        <v>38880</v>
      </c>
      <c r="N236">
        <v>15000</v>
      </c>
      <c r="O236" t="s">
        <v>23</v>
      </c>
      <c r="P236" t="s">
        <v>84</v>
      </c>
    </row>
    <row r="237" spans="1:16" x14ac:dyDescent="0.35">
      <c r="A237">
        <v>100236</v>
      </c>
      <c r="B237" s="1">
        <v>46091</v>
      </c>
      <c r="C237" t="s">
        <v>35</v>
      </c>
      <c r="D237" t="s">
        <v>36</v>
      </c>
      <c r="E237" t="s">
        <v>43</v>
      </c>
      <c r="F237" t="s">
        <v>44</v>
      </c>
      <c r="G237" t="s">
        <v>45</v>
      </c>
      <c r="H237" t="s">
        <v>145</v>
      </c>
      <c r="I237" t="s">
        <v>30</v>
      </c>
      <c r="J237">
        <v>3</v>
      </c>
      <c r="K237">
        <v>6500</v>
      </c>
      <c r="L237">
        <v>0.1</v>
      </c>
      <c r="M237">
        <v>17550</v>
      </c>
      <c r="N237">
        <v>2200</v>
      </c>
      <c r="O237" t="s">
        <v>23</v>
      </c>
      <c r="P237" t="s">
        <v>40</v>
      </c>
    </row>
    <row r="238" spans="1:16" x14ac:dyDescent="0.35">
      <c r="A238">
        <v>100237</v>
      </c>
      <c r="B238" s="1">
        <v>46186</v>
      </c>
      <c r="C238" t="s">
        <v>25</v>
      </c>
      <c r="D238" t="s">
        <v>26</v>
      </c>
      <c r="E238" t="s">
        <v>43</v>
      </c>
      <c r="F238" t="s">
        <v>27</v>
      </c>
      <c r="G238" t="s">
        <v>38</v>
      </c>
      <c r="H238" t="s">
        <v>198</v>
      </c>
      <c r="I238" t="s">
        <v>22</v>
      </c>
      <c r="J238">
        <v>4</v>
      </c>
      <c r="K238">
        <v>26000</v>
      </c>
      <c r="L238">
        <v>0.1</v>
      </c>
      <c r="M238">
        <v>93600</v>
      </c>
      <c r="N238">
        <v>15000</v>
      </c>
      <c r="O238" t="s">
        <v>23</v>
      </c>
      <c r="P238" t="s">
        <v>64</v>
      </c>
    </row>
    <row r="239" spans="1:16" x14ac:dyDescent="0.35">
      <c r="A239">
        <v>100238</v>
      </c>
      <c r="B239" s="1">
        <v>46033</v>
      </c>
      <c r="C239" t="s">
        <v>55</v>
      </c>
      <c r="D239" t="s">
        <v>56</v>
      </c>
      <c r="E239" t="s">
        <v>37</v>
      </c>
      <c r="F239" t="s">
        <v>19</v>
      </c>
      <c r="G239" t="s">
        <v>62</v>
      </c>
      <c r="H239" t="s">
        <v>199</v>
      </c>
      <c r="I239" t="s">
        <v>22</v>
      </c>
      <c r="J239">
        <v>2</v>
      </c>
      <c r="K239">
        <v>24000</v>
      </c>
      <c r="L239">
        <v>0</v>
      </c>
      <c r="M239">
        <v>48000</v>
      </c>
      <c r="N239">
        <v>15000</v>
      </c>
      <c r="O239" t="s">
        <v>23</v>
      </c>
      <c r="P239" t="s">
        <v>47</v>
      </c>
    </row>
    <row r="240" spans="1:16" x14ac:dyDescent="0.35">
      <c r="A240">
        <v>100239</v>
      </c>
      <c r="B240" s="1">
        <v>46187</v>
      </c>
      <c r="C240" t="s">
        <v>55</v>
      </c>
      <c r="D240" t="s">
        <v>56</v>
      </c>
      <c r="E240" t="s">
        <v>18</v>
      </c>
      <c r="F240" t="s">
        <v>27</v>
      </c>
      <c r="G240" t="s">
        <v>28</v>
      </c>
      <c r="H240" t="s">
        <v>200</v>
      </c>
      <c r="I240" t="s">
        <v>30</v>
      </c>
      <c r="J240">
        <v>1</v>
      </c>
      <c r="K240">
        <v>165000</v>
      </c>
      <c r="L240">
        <v>0.15</v>
      </c>
      <c r="M240">
        <v>140250</v>
      </c>
      <c r="N240">
        <v>112000</v>
      </c>
      <c r="O240" t="s">
        <v>23</v>
      </c>
      <c r="P240" t="s">
        <v>24</v>
      </c>
    </row>
    <row r="241" spans="1:16" x14ac:dyDescent="0.35">
      <c r="A241">
        <v>100240</v>
      </c>
      <c r="B241" s="1">
        <v>46038</v>
      </c>
      <c r="C241" t="s">
        <v>25</v>
      </c>
      <c r="D241" t="s">
        <v>26</v>
      </c>
      <c r="E241" t="s">
        <v>37</v>
      </c>
      <c r="F241" t="s">
        <v>27</v>
      </c>
      <c r="G241" t="s">
        <v>38</v>
      </c>
      <c r="H241" t="s">
        <v>80</v>
      </c>
      <c r="I241" t="s">
        <v>22</v>
      </c>
      <c r="J241">
        <v>3</v>
      </c>
      <c r="K241">
        <v>26000</v>
      </c>
      <c r="L241">
        <v>0.15</v>
      </c>
      <c r="M241">
        <v>66300</v>
      </c>
      <c r="N241">
        <v>15000</v>
      </c>
      <c r="O241" t="s">
        <v>23</v>
      </c>
      <c r="P241" t="s">
        <v>24</v>
      </c>
    </row>
    <row r="242" spans="1:16" x14ac:dyDescent="0.35">
      <c r="A242">
        <v>100241</v>
      </c>
      <c r="B242" s="1">
        <v>46084</v>
      </c>
      <c r="C242" t="s">
        <v>42</v>
      </c>
      <c r="D242" t="s">
        <v>26</v>
      </c>
      <c r="E242" t="s">
        <v>37</v>
      </c>
      <c r="F242" t="s">
        <v>44</v>
      </c>
      <c r="G242" t="s">
        <v>45</v>
      </c>
      <c r="H242" t="s">
        <v>176</v>
      </c>
      <c r="I242" t="s">
        <v>30</v>
      </c>
      <c r="J242">
        <v>4</v>
      </c>
      <c r="K242">
        <v>6500</v>
      </c>
      <c r="L242">
        <v>0.1</v>
      </c>
      <c r="M242">
        <v>23400</v>
      </c>
      <c r="N242">
        <v>2200</v>
      </c>
      <c r="O242" t="s">
        <v>23</v>
      </c>
      <c r="P242" t="s">
        <v>40</v>
      </c>
    </row>
    <row r="243" spans="1:16" x14ac:dyDescent="0.35">
      <c r="A243">
        <v>100242</v>
      </c>
      <c r="B243" s="1">
        <v>46090</v>
      </c>
      <c r="C243" t="s">
        <v>35</v>
      </c>
      <c r="D243" t="s">
        <v>36</v>
      </c>
      <c r="E243" t="s">
        <v>43</v>
      </c>
      <c r="F243" t="s">
        <v>19</v>
      </c>
      <c r="G243" t="s">
        <v>62</v>
      </c>
      <c r="H243" t="s">
        <v>201</v>
      </c>
      <c r="I243" t="s">
        <v>22</v>
      </c>
      <c r="J243">
        <v>2</v>
      </c>
      <c r="K243">
        <v>24000</v>
      </c>
      <c r="L243">
        <v>0.1</v>
      </c>
      <c r="M243">
        <v>43200</v>
      </c>
      <c r="N243">
        <v>15000</v>
      </c>
      <c r="O243" t="s">
        <v>76</v>
      </c>
      <c r="P243" t="s">
        <v>31</v>
      </c>
    </row>
    <row r="244" spans="1:16" x14ac:dyDescent="0.35">
      <c r="A244">
        <v>100243</v>
      </c>
      <c r="B244" s="1">
        <v>46219</v>
      </c>
      <c r="C244" t="s">
        <v>25</v>
      </c>
      <c r="D244" t="s">
        <v>26</v>
      </c>
      <c r="E244" t="s">
        <v>37</v>
      </c>
      <c r="F244" t="s">
        <v>19</v>
      </c>
      <c r="G244" t="s">
        <v>62</v>
      </c>
      <c r="H244" t="s">
        <v>175</v>
      </c>
      <c r="I244" t="s">
        <v>22</v>
      </c>
      <c r="J244">
        <v>5</v>
      </c>
      <c r="K244">
        <v>24000</v>
      </c>
      <c r="L244">
        <v>0.1</v>
      </c>
      <c r="M244">
        <v>108000</v>
      </c>
      <c r="N244">
        <v>15000</v>
      </c>
      <c r="O244" t="s">
        <v>23</v>
      </c>
      <c r="P244" t="s">
        <v>54</v>
      </c>
    </row>
    <row r="245" spans="1:16" x14ac:dyDescent="0.35">
      <c r="A245">
        <v>100244</v>
      </c>
      <c r="B245" s="1">
        <v>46051</v>
      </c>
      <c r="C245" t="s">
        <v>35</v>
      </c>
      <c r="D245" t="s">
        <v>36</v>
      </c>
      <c r="E245" t="s">
        <v>18</v>
      </c>
      <c r="F245" t="s">
        <v>27</v>
      </c>
      <c r="G245" t="s">
        <v>38</v>
      </c>
      <c r="H245" t="s">
        <v>202</v>
      </c>
      <c r="I245" t="s">
        <v>30</v>
      </c>
      <c r="J245">
        <v>3</v>
      </c>
      <c r="K245">
        <v>26000</v>
      </c>
      <c r="L245">
        <v>0.05</v>
      </c>
      <c r="M245">
        <v>74100</v>
      </c>
      <c r="N245">
        <v>15000</v>
      </c>
      <c r="O245" t="s">
        <v>23</v>
      </c>
      <c r="P245" t="s">
        <v>31</v>
      </c>
    </row>
    <row r="246" spans="1:16" x14ac:dyDescent="0.35">
      <c r="A246">
        <v>100245</v>
      </c>
      <c r="B246" s="1">
        <v>46199</v>
      </c>
      <c r="C246" t="s">
        <v>42</v>
      </c>
      <c r="D246" t="s">
        <v>26</v>
      </c>
      <c r="E246" t="s">
        <v>37</v>
      </c>
      <c r="F246" t="s">
        <v>44</v>
      </c>
      <c r="G246" t="s">
        <v>65</v>
      </c>
      <c r="H246" t="s">
        <v>82</v>
      </c>
      <c r="I246" t="s">
        <v>22</v>
      </c>
      <c r="J246">
        <v>1</v>
      </c>
      <c r="K246">
        <v>28000</v>
      </c>
      <c r="L246">
        <v>0.15</v>
      </c>
      <c r="M246">
        <v>23800</v>
      </c>
      <c r="N246">
        <v>16000</v>
      </c>
      <c r="O246" t="s">
        <v>23</v>
      </c>
      <c r="P246" t="s">
        <v>47</v>
      </c>
    </row>
    <row r="247" spans="1:16" x14ac:dyDescent="0.35">
      <c r="A247">
        <v>100246</v>
      </c>
      <c r="B247" s="1">
        <v>46231</v>
      </c>
      <c r="C247" t="s">
        <v>35</v>
      </c>
      <c r="D247" t="s">
        <v>36</v>
      </c>
      <c r="E247" t="s">
        <v>43</v>
      </c>
      <c r="F247" t="s">
        <v>27</v>
      </c>
      <c r="G247" t="s">
        <v>28</v>
      </c>
      <c r="H247" t="s">
        <v>112</v>
      </c>
      <c r="I247" t="s">
        <v>22</v>
      </c>
      <c r="J247">
        <v>1</v>
      </c>
      <c r="K247">
        <v>165000</v>
      </c>
      <c r="L247">
        <v>0.05</v>
      </c>
      <c r="M247">
        <v>156750</v>
      </c>
      <c r="N247">
        <v>112000</v>
      </c>
      <c r="O247" t="s">
        <v>23</v>
      </c>
      <c r="P247" t="s">
        <v>24</v>
      </c>
    </row>
    <row r="248" spans="1:16" x14ac:dyDescent="0.35">
      <c r="A248">
        <v>100247</v>
      </c>
      <c r="B248" s="1">
        <v>46237</v>
      </c>
      <c r="C248" t="s">
        <v>32</v>
      </c>
      <c r="D248" t="s">
        <v>17</v>
      </c>
      <c r="E248" t="s">
        <v>43</v>
      </c>
      <c r="F248" t="s">
        <v>19</v>
      </c>
      <c r="G248" t="s">
        <v>62</v>
      </c>
      <c r="H248" t="s">
        <v>92</v>
      </c>
      <c r="I248" t="s">
        <v>30</v>
      </c>
      <c r="J248">
        <v>2</v>
      </c>
      <c r="K248">
        <v>24000</v>
      </c>
      <c r="L248">
        <v>0.2</v>
      </c>
      <c r="M248">
        <v>38400</v>
      </c>
      <c r="O248" t="s">
        <v>23</v>
      </c>
      <c r="P248" t="s">
        <v>40</v>
      </c>
    </row>
    <row r="249" spans="1:16" x14ac:dyDescent="0.35">
      <c r="A249">
        <v>100248</v>
      </c>
      <c r="B249" s="1">
        <v>46225</v>
      </c>
      <c r="C249" t="s">
        <v>25</v>
      </c>
      <c r="D249" t="s">
        <v>26</v>
      </c>
      <c r="E249" t="s">
        <v>43</v>
      </c>
      <c r="F249" t="s">
        <v>44</v>
      </c>
      <c r="G249" t="s">
        <v>45</v>
      </c>
      <c r="H249" t="s">
        <v>203</v>
      </c>
      <c r="I249" t="s">
        <v>30</v>
      </c>
      <c r="J249">
        <v>1</v>
      </c>
      <c r="K249">
        <v>6500</v>
      </c>
      <c r="L249">
        <v>0.05</v>
      </c>
      <c r="M249">
        <v>6175</v>
      </c>
      <c r="N249">
        <v>2200</v>
      </c>
      <c r="O249" t="s">
        <v>23</v>
      </c>
      <c r="P249" t="s">
        <v>64</v>
      </c>
    </row>
    <row r="250" spans="1:16" x14ac:dyDescent="0.35">
      <c r="A250">
        <v>100249</v>
      </c>
      <c r="B250" s="1">
        <v>46116</v>
      </c>
      <c r="C250" t="s">
        <v>35</v>
      </c>
      <c r="D250" t="s">
        <v>36</v>
      </c>
      <c r="E250" t="s">
        <v>37</v>
      </c>
      <c r="F250" t="s">
        <v>19</v>
      </c>
      <c r="G250" t="s">
        <v>52</v>
      </c>
      <c r="H250" t="s">
        <v>204</v>
      </c>
      <c r="I250" t="s">
        <v>22</v>
      </c>
      <c r="J250">
        <v>2</v>
      </c>
      <c r="K250">
        <v>42000</v>
      </c>
      <c r="L250">
        <v>0.1</v>
      </c>
      <c r="M250">
        <v>75600</v>
      </c>
      <c r="N250">
        <v>28000</v>
      </c>
      <c r="O250" t="s">
        <v>23</v>
      </c>
      <c r="P250" t="s">
        <v>47</v>
      </c>
    </row>
    <row r="251" spans="1:16" x14ac:dyDescent="0.35">
      <c r="A251">
        <v>100250</v>
      </c>
      <c r="B251" s="1">
        <v>46140</v>
      </c>
      <c r="C251" t="s">
        <v>50</v>
      </c>
      <c r="D251" t="s">
        <v>51</v>
      </c>
      <c r="E251" t="s">
        <v>43</v>
      </c>
      <c r="F251" t="s">
        <v>27</v>
      </c>
      <c r="G251" t="s">
        <v>28</v>
      </c>
      <c r="H251" t="s">
        <v>199</v>
      </c>
      <c r="I251" t="s">
        <v>22</v>
      </c>
      <c r="J251">
        <v>4</v>
      </c>
      <c r="K251">
        <v>165000</v>
      </c>
      <c r="L251">
        <v>0</v>
      </c>
      <c r="M251">
        <v>660000</v>
      </c>
      <c r="N251">
        <v>112000</v>
      </c>
      <c r="O251" t="s">
        <v>23</v>
      </c>
      <c r="P251" t="s">
        <v>47</v>
      </c>
    </row>
    <row r="252" spans="1:16" x14ac:dyDescent="0.35">
      <c r="A252">
        <v>100251</v>
      </c>
      <c r="B252" s="1">
        <v>46226</v>
      </c>
      <c r="C252" t="s">
        <v>25</v>
      </c>
      <c r="D252" t="s">
        <v>26</v>
      </c>
      <c r="E252" t="s">
        <v>43</v>
      </c>
      <c r="F252" t="s">
        <v>19</v>
      </c>
      <c r="G252" t="s">
        <v>52</v>
      </c>
      <c r="H252" t="s">
        <v>186</v>
      </c>
      <c r="I252" t="s">
        <v>30</v>
      </c>
      <c r="J252">
        <v>2</v>
      </c>
      <c r="K252">
        <v>42000</v>
      </c>
      <c r="L252">
        <v>0</v>
      </c>
      <c r="M252">
        <v>84000</v>
      </c>
      <c r="N252">
        <v>28000</v>
      </c>
      <c r="O252" t="s">
        <v>23</v>
      </c>
      <c r="P252" t="s">
        <v>47</v>
      </c>
    </row>
    <row r="253" spans="1:16" x14ac:dyDescent="0.35">
      <c r="A253">
        <v>100252</v>
      </c>
      <c r="B253" s="1">
        <v>46214</v>
      </c>
      <c r="C253" t="s">
        <v>35</v>
      </c>
      <c r="D253" t="s">
        <v>36</v>
      </c>
      <c r="E253" t="s">
        <v>43</v>
      </c>
      <c r="F253" t="s">
        <v>27</v>
      </c>
      <c r="G253" t="s">
        <v>38</v>
      </c>
      <c r="H253" t="s">
        <v>167</v>
      </c>
      <c r="I253" t="s">
        <v>30</v>
      </c>
      <c r="J253">
        <v>2</v>
      </c>
      <c r="K253">
        <v>26000</v>
      </c>
      <c r="L253">
        <v>0</v>
      </c>
      <c r="M253">
        <v>52000</v>
      </c>
      <c r="N253">
        <v>15000</v>
      </c>
      <c r="O253" t="s">
        <v>23</v>
      </c>
      <c r="P253" t="s">
        <v>58</v>
      </c>
    </row>
    <row r="254" spans="1:16" x14ac:dyDescent="0.35">
      <c r="A254">
        <v>100253</v>
      </c>
      <c r="B254" s="1">
        <v>46024</v>
      </c>
      <c r="C254" t="s">
        <v>55</v>
      </c>
      <c r="D254" t="s">
        <v>56</v>
      </c>
      <c r="E254" t="s">
        <v>18</v>
      </c>
      <c r="F254" t="s">
        <v>19</v>
      </c>
      <c r="G254" t="s">
        <v>20</v>
      </c>
      <c r="H254" t="s">
        <v>145</v>
      </c>
      <c r="I254" t="s">
        <v>30</v>
      </c>
      <c r="J254">
        <v>2</v>
      </c>
      <c r="K254">
        <v>58000</v>
      </c>
      <c r="L254">
        <v>0.05</v>
      </c>
      <c r="M254">
        <v>110200</v>
      </c>
      <c r="N254">
        <v>39000</v>
      </c>
      <c r="O254" t="s">
        <v>23</v>
      </c>
      <c r="P254" t="s">
        <v>64</v>
      </c>
    </row>
    <row r="255" spans="1:16" x14ac:dyDescent="0.35">
      <c r="A255">
        <v>100254</v>
      </c>
      <c r="B255" s="1">
        <v>46123</v>
      </c>
      <c r="C255" t="s">
        <v>35</v>
      </c>
      <c r="D255" t="s">
        <v>36</v>
      </c>
      <c r="E255" t="s">
        <v>37</v>
      </c>
      <c r="F255" t="s">
        <v>19</v>
      </c>
      <c r="G255" t="s">
        <v>20</v>
      </c>
      <c r="H255" t="s">
        <v>103</v>
      </c>
      <c r="I255" t="s">
        <v>30</v>
      </c>
      <c r="J255">
        <v>2</v>
      </c>
      <c r="K255">
        <v>58000</v>
      </c>
      <c r="L255">
        <v>0.1</v>
      </c>
      <c r="M255">
        <v>104400</v>
      </c>
      <c r="N255">
        <v>39000</v>
      </c>
      <c r="O255" t="s">
        <v>23</v>
      </c>
      <c r="P255" t="s">
        <v>40</v>
      </c>
    </row>
    <row r="256" spans="1:16" x14ac:dyDescent="0.35">
      <c r="A256">
        <v>100255</v>
      </c>
      <c r="B256" s="1">
        <v>46147</v>
      </c>
      <c r="C256" t="s">
        <v>42</v>
      </c>
      <c r="D256" t="s">
        <v>26</v>
      </c>
      <c r="E256" t="s">
        <v>37</v>
      </c>
      <c r="F256" t="s">
        <v>19</v>
      </c>
      <c r="G256" t="s">
        <v>62</v>
      </c>
      <c r="H256" t="s">
        <v>205</v>
      </c>
      <c r="I256" t="s">
        <v>22</v>
      </c>
      <c r="J256">
        <v>5</v>
      </c>
      <c r="K256">
        <v>24000</v>
      </c>
      <c r="L256">
        <v>0.15</v>
      </c>
      <c r="M256">
        <v>102000</v>
      </c>
      <c r="N256">
        <v>15000</v>
      </c>
      <c r="O256" t="s">
        <v>76</v>
      </c>
      <c r="P256" t="s">
        <v>31</v>
      </c>
    </row>
    <row r="257" spans="1:16" x14ac:dyDescent="0.35">
      <c r="A257">
        <v>100256</v>
      </c>
      <c r="B257" s="1">
        <v>46226</v>
      </c>
      <c r="C257" t="s">
        <v>35</v>
      </c>
      <c r="D257" t="s">
        <v>36</v>
      </c>
      <c r="E257" t="s">
        <v>43</v>
      </c>
      <c r="F257" t="s">
        <v>206</v>
      </c>
      <c r="G257" t="s">
        <v>45</v>
      </c>
      <c r="H257" t="s">
        <v>72</v>
      </c>
      <c r="I257" t="s">
        <v>22</v>
      </c>
      <c r="J257">
        <v>1</v>
      </c>
      <c r="K257">
        <v>6500</v>
      </c>
      <c r="L257">
        <v>0.05</v>
      </c>
      <c r="M257">
        <v>6175</v>
      </c>
      <c r="N257">
        <v>2200</v>
      </c>
      <c r="O257" t="s">
        <v>23</v>
      </c>
      <c r="P257" t="s">
        <v>84</v>
      </c>
    </row>
    <row r="258" spans="1:16" x14ac:dyDescent="0.35">
      <c r="A258">
        <v>100257</v>
      </c>
      <c r="B258" s="1">
        <v>46085</v>
      </c>
      <c r="C258" t="s">
        <v>25</v>
      </c>
      <c r="D258" t="s">
        <v>26</v>
      </c>
      <c r="E258" t="s">
        <v>37</v>
      </c>
      <c r="F258" t="s">
        <v>19</v>
      </c>
      <c r="G258" t="s">
        <v>20</v>
      </c>
      <c r="H258" t="s">
        <v>160</v>
      </c>
      <c r="I258" t="s">
        <v>30</v>
      </c>
      <c r="J258">
        <v>1</v>
      </c>
      <c r="K258">
        <v>58000</v>
      </c>
      <c r="L258">
        <v>0.05</v>
      </c>
      <c r="M258">
        <v>55100</v>
      </c>
      <c r="N258">
        <v>39000</v>
      </c>
      <c r="O258" t="s">
        <v>23</v>
      </c>
      <c r="P258" t="s">
        <v>47</v>
      </c>
    </row>
    <row r="259" spans="1:16" x14ac:dyDescent="0.35">
      <c r="A259">
        <v>100258</v>
      </c>
      <c r="B259" s="1">
        <v>46204</v>
      </c>
      <c r="C259" t="s">
        <v>55</v>
      </c>
      <c r="D259" t="s">
        <v>56</v>
      </c>
      <c r="E259" t="s">
        <v>18</v>
      </c>
      <c r="F259" t="s">
        <v>19</v>
      </c>
      <c r="G259" t="s">
        <v>52</v>
      </c>
      <c r="H259" t="s">
        <v>78</v>
      </c>
      <c r="I259" t="s">
        <v>22</v>
      </c>
      <c r="J259">
        <v>4</v>
      </c>
      <c r="K259">
        <v>42000</v>
      </c>
      <c r="L259">
        <v>0.15</v>
      </c>
      <c r="M259">
        <v>142800</v>
      </c>
      <c r="N259">
        <v>28000</v>
      </c>
      <c r="O259" t="s">
        <v>23</v>
      </c>
      <c r="P259" t="s">
        <v>84</v>
      </c>
    </row>
    <row r="260" spans="1:16" x14ac:dyDescent="0.35">
      <c r="A260">
        <v>100259</v>
      </c>
      <c r="B260" s="1">
        <v>46226</v>
      </c>
      <c r="C260" t="s">
        <v>32</v>
      </c>
      <c r="D260" t="s">
        <v>17</v>
      </c>
      <c r="E260" t="s">
        <v>43</v>
      </c>
      <c r="F260" t="s">
        <v>27</v>
      </c>
      <c r="G260" t="s">
        <v>28</v>
      </c>
      <c r="H260" t="s">
        <v>193</v>
      </c>
      <c r="I260" t="s">
        <v>30</v>
      </c>
      <c r="J260">
        <v>1</v>
      </c>
      <c r="K260">
        <v>165000</v>
      </c>
      <c r="L260">
        <v>0.25</v>
      </c>
      <c r="M260">
        <v>136125</v>
      </c>
      <c r="N260">
        <v>112000</v>
      </c>
      <c r="O260" t="s">
        <v>76</v>
      </c>
      <c r="P260" t="s">
        <v>40</v>
      </c>
    </row>
    <row r="261" spans="1:16" x14ac:dyDescent="0.35">
      <c r="A261">
        <v>100260</v>
      </c>
      <c r="B261" s="1">
        <v>46126</v>
      </c>
      <c r="C261" t="s">
        <v>55</v>
      </c>
      <c r="D261" t="s">
        <v>56</v>
      </c>
      <c r="E261" t="s">
        <v>18</v>
      </c>
      <c r="F261" t="s">
        <v>27</v>
      </c>
      <c r="G261" t="s">
        <v>33</v>
      </c>
      <c r="H261" t="s">
        <v>107</v>
      </c>
      <c r="I261" t="s">
        <v>30</v>
      </c>
      <c r="J261">
        <v>2</v>
      </c>
      <c r="K261">
        <v>32000</v>
      </c>
      <c r="L261">
        <v>0.15</v>
      </c>
      <c r="M261">
        <v>54400</v>
      </c>
      <c r="N261">
        <v>19000</v>
      </c>
      <c r="O261" t="s">
        <v>23</v>
      </c>
      <c r="P261" t="s">
        <v>64</v>
      </c>
    </row>
    <row r="262" spans="1:16" x14ac:dyDescent="0.35">
      <c r="A262">
        <v>100261</v>
      </c>
      <c r="B262" s="1">
        <v>46087</v>
      </c>
      <c r="C262" t="s">
        <v>16</v>
      </c>
      <c r="D262" t="s">
        <v>17</v>
      </c>
      <c r="E262" t="s">
        <v>43</v>
      </c>
      <c r="F262" t="s">
        <v>27</v>
      </c>
      <c r="G262" t="s">
        <v>38</v>
      </c>
      <c r="H262" t="s">
        <v>162</v>
      </c>
      <c r="I262" t="s">
        <v>22</v>
      </c>
      <c r="J262">
        <v>4</v>
      </c>
      <c r="K262">
        <v>26000</v>
      </c>
      <c r="L262">
        <v>0</v>
      </c>
      <c r="M262">
        <v>104000</v>
      </c>
      <c r="N262">
        <v>15000</v>
      </c>
      <c r="O262" t="s">
        <v>23</v>
      </c>
      <c r="P262" t="s">
        <v>24</v>
      </c>
    </row>
    <row r="263" spans="1:16" x14ac:dyDescent="0.35">
      <c r="A263">
        <v>100262</v>
      </c>
      <c r="B263" s="1">
        <v>46063</v>
      </c>
      <c r="C263" t="s">
        <v>50</v>
      </c>
      <c r="D263" t="s">
        <v>51</v>
      </c>
      <c r="E263" t="s">
        <v>37</v>
      </c>
      <c r="F263" t="s">
        <v>19</v>
      </c>
      <c r="G263" t="s">
        <v>62</v>
      </c>
      <c r="H263" t="s">
        <v>91</v>
      </c>
      <c r="I263" t="s">
        <v>22</v>
      </c>
      <c r="J263">
        <v>4</v>
      </c>
      <c r="K263">
        <v>24000</v>
      </c>
      <c r="L263">
        <v>0.05</v>
      </c>
      <c r="M263">
        <v>91200</v>
      </c>
      <c r="N263">
        <v>15000</v>
      </c>
      <c r="O263" t="s">
        <v>23</v>
      </c>
      <c r="P263" t="s">
        <v>47</v>
      </c>
    </row>
    <row r="264" spans="1:16" x14ac:dyDescent="0.35">
      <c r="A264">
        <v>100263</v>
      </c>
      <c r="B264" s="1">
        <v>46044</v>
      </c>
      <c r="C264" t="s">
        <v>16</v>
      </c>
      <c r="D264" t="s">
        <v>17</v>
      </c>
      <c r="E264" t="s">
        <v>43</v>
      </c>
      <c r="F264" t="s">
        <v>44</v>
      </c>
      <c r="G264" t="s">
        <v>60</v>
      </c>
      <c r="H264" t="s">
        <v>117</v>
      </c>
      <c r="I264" t="s">
        <v>22</v>
      </c>
      <c r="J264">
        <v>5</v>
      </c>
      <c r="K264">
        <v>9000</v>
      </c>
      <c r="L264">
        <v>0.25</v>
      </c>
      <c r="M264">
        <v>33750</v>
      </c>
      <c r="N264">
        <v>3500</v>
      </c>
      <c r="O264" t="s">
        <v>23</v>
      </c>
      <c r="P264" t="s">
        <v>58</v>
      </c>
    </row>
    <row r="265" spans="1:16" x14ac:dyDescent="0.35">
      <c r="A265">
        <v>100264</v>
      </c>
      <c r="B265" s="1">
        <v>46117</v>
      </c>
      <c r="C265" t="s">
        <v>35</v>
      </c>
      <c r="D265" t="s">
        <v>36</v>
      </c>
      <c r="E265" t="s">
        <v>43</v>
      </c>
      <c r="F265" t="s">
        <v>19</v>
      </c>
      <c r="G265" t="s">
        <v>52</v>
      </c>
      <c r="H265" t="s">
        <v>120</v>
      </c>
      <c r="I265" t="s">
        <v>30</v>
      </c>
      <c r="J265">
        <v>1</v>
      </c>
      <c r="K265">
        <v>42000</v>
      </c>
      <c r="L265">
        <v>0.05</v>
      </c>
      <c r="M265">
        <v>39900</v>
      </c>
      <c r="N265">
        <v>28000</v>
      </c>
      <c r="O265" t="s">
        <v>23</v>
      </c>
      <c r="P265" t="s">
        <v>58</v>
      </c>
    </row>
    <row r="266" spans="1:16" x14ac:dyDescent="0.35">
      <c r="A266">
        <v>100265</v>
      </c>
      <c r="B266" s="1">
        <v>46053</v>
      </c>
      <c r="C266" t="s">
        <v>55</v>
      </c>
      <c r="D266" t="s">
        <v>56</v>
      </c>
      <c r="E266" t="s">
        <v>43</v>
      </c>
      <c r="F266" t="s">
        <v>27</v>
      </c>
      <c r="G266" t="s">
        <v>33</v>
      </c>
      <c r="H266" t="s">
        <v>207</v>
      </c>
      <c r="I266" t="s">
        <v>30</v>
      </c>
      <c r="J266">
        <v>2</v>
      </c>
      <c r="K266">
        <v>32000</v>
      </c>
      <c r="L266">
        <v>0</v>
      </c>
      <c r="M266">
        <v>64000</v>
      </c>
      <c r="N266">
        <v>19000</v>
      </c>
      <c r="O266" t="s">
        <v>23</v>
      </c>
      <c r="P266" t="s">
        <v>24</v>
      </c>
    </row>
    <row r="267" spans="1:16" x14ac:dyDescent="0.35">
      <c r="A267">
        <v>100266</v>
      </c>
      <c r="B267" s="1">
        <v>46188</v>
      </c>
      <c r="C267" t="s">
        <v>35</v>
      </c>
      <c r="D267" t="s">
        <v>36</v>
      </c>
      <c r="E267" t="s">
        <v>18</v>
      </c>
      <c r="F267" t="s">
        <v>19</v>
      </c>
      <c r="G267" t="s">
        <v>62</v>
      </c>
      <c r="H267" t="s">
        <v>113</v>
      </c>
      <c r="I267" t="s">
        <v>22</v>
      </c>
      <c r="J267">
        <v>4</v>
      </c>
      <c r="K267">
        <v>24000</v>
      </c>
      <c r="L267">
        <v>0</v>
      </c>
      <c r="M267">
        <v>96000</v>
      </c>
      <c r="N267">
        <v>15000</v>
      </c>
      <c r="O267" t="s">
        <v>23</v>
      </c>
      <c r="P267" t="s">
        <v>64</v>
      </c>
    </row>
    <row r="268" spans="1:16" x14ac:dyDescent="0.35">
      <c r="A268">
        <v>100267</v>
      </c>
      <c r="B268" s="1">
        <v>46143</v>
      </c>
      <c r="C268" t="s">
        <v>55</v>
      </c>
      <c r="D268" t="s">
        <v>56</v>
      </c>
      <c r="E268" t="s">
        <v>43</v>
      </c>
      <c r="F268" t="s">
        <v>27</v>
      </c>
      <c r="G268" t="s">
        <v>38</v>
      </c>
      <c r="H268" t="s">
        <v>175</v>
      </c>
      <c r="I268" t="s">
        <v>30</v>
      </c>
      <c r="J268">
        <v>1</v>
      </c>
      <c r="K268">
        <v>26000</v>
      </c>
      <c r="L268">
        <v>0.05</v>
      </c>
      <c r="M268">
        <v>24700</v>
      </c>
      <c r="N268">
        <v>15000</v>
      </c>
      <c r="O268" t="s">
        <v>23</v>
      </c>
      <c r="P268" t="s">
        <v>54</v>
      </c>
    </row>
    <row r="269" spans="1:16" x14ac:dyDescent="0.35">
      <c r="A269">
        <v>100268</v>
      </c>
      <c r="B269" s="1">
        <v>46082</v>
      </c>
      <c r="C269" t="s">
        <v>42</v>
      </c>
      <c r="D269" t="s">
        <v>26</v>
      </c>
      <c r="E269" t="s">
        <v>37</v>
      </c>
      <c r="F269" t="s">
        <v>19</v>
      </c>
      <c r="G269" t="s">
        <v>20</v>
      </c>
      <c r="H269" t="s">
        <v>146</v>
      </c>
      <c r="I269" t="s">
        <v>30</v>
      </c>
      <c r="J269">
        <v>2</v>
      </c>
      <c r="K269">
        <v>58000</v>
      </c>
      <c r="L269">
        <v>0</v>
      </c>
      <c r="M269">
        <v>116000</v>
      </c>
      <c r="N269">
        <v>39000</v>
      </c>
      <c r="O269" t="s">
        <v>23</v>
      </c>
      <c r="P269" t="s">
        <v>64</v>
      </c>
    </row>
    <row r="270" spans="1:16" x14ac:dyDescent="0.35">
      <c r="A270">
        <v>100269</v>
      </c>
      <c r="B270" s="1">
        <v>46119</v>
      </c>
      <c r="C270" t="s">
        <v>32</v>
      </c>
      <c r="D270" t="s">
        <v>17</v>
      </c>
      <c r="E270" t="s">
        <v>18</v>
      </c>
      <c r="F270" t="s">
        <v>27</v>
      </c>
      <c r="G270" t="s">
        <v>38</v>
      </c>
      <c r="H270" t="s">
        <v>151</v>
      </c>
      <c r="I270" t="s">
        <v>30</v>
      </c>
      <c r="J270">
        <v>5</v>
      </c>
      <c r="K270">
        <v>26000</v>
      </c>
      <c r="L270">
        <v>0.15</v>
      </c>
      <c r="M270">
        <v>110500</v>
      </c>
      <c r="N270">
        <v>15000</v>
      </c>
      <c r="O270" t="s">
        <v>23</v>
      </c>
      <c r="P270" t="s">
        <v>31</v>
      </c>
    </row>
    <row r="271" spans="1:16" x14ac:dyDescent="0.35">
      <c r="A271">
        <v>100270</v>
      </c>
      <c r="B271" s="1">
        <v>46189</v>
      </c>
      <c r="C271" t="s">
        <v>55</v>
      </c>
      <c r="D271" t="s">
        <v>56</v>
      </c>
      <c r="E271" t="s">
        <v>37</v>
      </c>
      <c r="F271" t="s">
        <v>44</v>
      </c>
      <c r="G271" t="s">
        <v>65</v>
      </c>
      <c r="H271" t="s">
        <v>208</v>
      </c>
      <c r="I271" t="s">
        <v>30</v>
      </c>
      <c r="J271">
        <v>4</v>
      </c>
      <c r="K271">
        <v>28000</v>
      </c>
      <c r="L271">
        <v>0</v>
      </c>
      <c r="M271">
        <v>112000</v>
      </c>
      <c r="N271">
        <v>16000</v>
      </c>
      <c r="O271" t="s">
        <v>23</v>
      </c>
      <c r="P271" t="s">
        <v>40</v>
      </c>
    </row>
    <row r="272" spans="1:16" x14ac:dyDescent="0.35">
      <c r="A272">
        <v>100271</v>
      </c>
      <c r="B272" s="1">
        <v>46137</v>
      </c>
      <c r="C272" t="s">
        <v>50</v>
      </c>
      <c r="D272" t="s">
        <v>51</v>
      </c>
      <c r="E272" t="s">
        <v>37</v>
      </c>
      <c r="F272" t="s">
        <v>27</v>
      </c>
      <c r="G272" t="s">
        <v>28</v>
      </c>
      <c r="H272" t="s">
        <v>160</v>
      </c>
      <c r="I272" t="s">
        <v>22</v>
      </c>
      <c r="J272">
        <v>1</v>
      </c>
      <c r="K272">
        <v>165000</v>
      </c>
      <c r="L272">
        <v>0</v>
      </c>
      <c r="M272">
        <v>165000</v>
      </c>
      <c r="N272">
        <v>112000</v>
      </c>
      <c r="O272" t="s">
        <v>23</v>
      </c>
      <c r="P272" t="s">
        <v>24</v>
      </c>
    </row>
    <row r="273" spans="1:16" x14ac:dyDescent="0.35">
      <c r="A273">
        <v>100272</v>
      </c>
      <c r="B273" s="1">
        <v>46100</v>
      </c>
      <c r="C273" t="s">
        <v>42</v>
      </c>
      <c r="D273" t="s">
        <v>26</v>
      </c>
      <c r="E273" t="s">
        <v>43</v>
      </c>
      <c r="F273" t="s">
        <v>19</v>
      </c>
      <c r="G273" t="s">
        <v>52</v>
      </c>
      <c r="H273" t="s">
        <v>146</v>
      </c>
      <c r="I273" t="s">
        <v>30</v>
      </c>
      <c r="J273">
        <v>1</v>
      </c>
      <c r="K273">
        <v>42000</v>
      </c>
      <c r="L273">
        <v>0</v>
      </c>
      <c r="M273">
        <v>42000</v>
      </c>
      <c r="N273">
        <v>28000</v>
      </c>
      <c r="O273" t="s">
        <v>23</v>
      </c>
      <c r="P273" t="s">
        <v>54</v>
      </c>
    </row>
    <row r="274" spans="1:16" x14ac:dyDescent="0.35">
      <c r="A274">
        <v>100273</v>
      </c>
      <c r="B274" s="1">
        <v>46037</v>
      </c>
      <c r="C274" t="s">
        <v>50</v>
      </c>
      <c r="D274" t="s">
        <v>51</v>
      </c>
      <c r="E274" t="s">
        <v>37</v>
      </c>
      <c r="F274" t="s">
        <v>27</v>
      </c>
      <c r="G274" t="s">
        <v>28</v>
      </c>
      <c r="H274" t="s">
        <v>209</v>
      </c>
      <c r="I274" t="s">
        <v>22</v>
      </c>
      <c r="J274">
        <v>2</v>
      </c>
      <c r="K274">
        <v>165000</v>
      </c>
      <c r="L274">
        <v>0.05</v>
      </c>
      <c r="M274">
        <v>313500</v>
      </c>
      <c r="N274">
        <v>112000</v>
      </c>
      <c r="O274" t="s">
        <v>23</v>
      </c>
      <c r="P274" t="s">
        <v>47</v>
      </c>
    </row>
    <row r="275" spans="1:16" x14ac:dyDescent="0.35">
      <c r="A275">
        <v>100274</v>
      </c>
      <c r="B275" s="1">
        <v>46260</v>
      </c>
      <c r="C275" t="s">
        <v>55</v>
      </c>
      <c r="D275" t="s">
        <v>56</v>
      </c>
      <c r="E275" t="s">
        <v>37</v>
      </c>
      <c r="F275" t="s">
        <v>44</v>
      </c>
      <c r="G275" t="s">
        <v>65</v>
      </c>
      <c r="H275" t="s">
        <v>148</v>
      </c>
      <c r="I275" t="s">
        <v>30</v>
      </c>
      <c r="J275">
        <v>3</v>
      </c>
      <c r="K275">
        <v>28000</v>
      </c>
      <c r="L275">
        <v>0</v>
      </c>
      <c r="M275">
        <v>84000</v>
      </c>
      <c r="N275">
        <v>16000</v>
      </c>
      <c r="O275" t="s">
        <v>23</v>
      </c>
      <c r="P275" t="s">
        <v>54</v>
      </c>
    </row>
    <row r="276" spans="1:16" x14ac:dyDescent="0.35">
      <c r="A276">
        <v>100275</v>
      </c>
      <c r="B276" s="1">
        <v>46156</v>
      </c>
      <c r="C276" t="s">
        <v>25</v>
      </c>
      <c r="D276" t="s">
        <v>26</v>
      </c>
      <c r="E276" t="s">
        <v>37</v>
      </c>
      <c r="F276" t="s">
        <v>27</v>
      </c>
      <c r="G276" t="s">
        <v>38</v>
      </c>
      <c r="H276" t="s">
        <v>100</v>
      </c>
      <c r="I276" t="s">
        <v>22</v>
      </c>
      <c r="J276">
        <v>22</v>
      </c>
      <c r="K276">
        <v>26000</v>
      </c>
      <c r="L276">
        <v>0.05</v>
      </c>
      <c r="M276">
        <v>543400</v>
      </c>
      <c r="N276">
        <v>15000</v>
      </c>
      <c r="O276" t="s">
        <v>23</v>
      </c>
      <c r="P276" t="s">
        <v>58</v>
      </c>
    </row>
    <row r="277" spans="1:16" x14ac:dyDescent="0.35">
      <c r="A277">
        <v>100276</v>
      </c>
      <c r="B277" s="1">
        <v>46195</v>
      </c>
      <c r="C277" t="s">
        <v>42</v>
      </c>
      <c r="D277" t="s">
        <v>26</v>
      </c>
      <c r="E277" t="s">
        <v>37</v>
      </c>
      <c r="F277" t="s">
        <v>19</v>
      </c>
      <c r="G277" t="s">
        <v>62</v>
      </c>
      <c r="H277" t="s">
        <v>158</v>
      </c>
      <c r="I277" t="s">
        <v>22</v>
      </c>
      <c r="J277">
        <v>2</v>
      </c>
      <c r="K277">
        <v>24000</v>
      </c>
      <c r="L277">
        <v>0.1</v>
      </c>
      <c r="M277">
        <v>43200</v>
      </c>
      <c r="N277">
        <v>15000</v>
      </c>
      <c r="O277" t="s">
        <v>23</v>
      </c>
      <c r="P277" t="s">
        <v>58</v>
      </c>
    </row>
    <row r="278" spans="1:16" x14ac:dyDescent="0.35">
      <c r="A278">
        <v>100277</v>
      </c>
      <c r="B278" s="1">
        <v>46231</v>
      </c>
      <c r="C278" t="s">
        <v>25</v>
      </c>
      <c r="D278" t="s">
        <v>26</v>
      </c>
      <c r="E278" t="s">
        <v>43</v>
      </c>
      <c r="F278" t="s">
        <v>27</v>
      </c>
      <c r="G278" t="s">
        <v>38</v>
      </c>
      <c r="H278" t="s">
        <v>138</v>
      </c>
      <c r="I278" t="s">
        <v>22</v>
      </c>
      <c r="J278">
        <v>22</v>
      </c>
      <c r="K278">
        <v>26000</v>
      </c>
      <c r="L278">
        <v>0</v>
      </c>
      <c r="M278">
        <v>572000</v>
      </c>
      <c r="N278">
        <v>15000</v>
      </c>
      <c r="O278" t="s">
        <v>23</v>
      </c>
      <c r="P278" t="s">
        <v>40</v>
      </c>
    </row>
    <row r="279" spans="1:16" x14ac:dyDescent="0.35">
      <c r="A279">
        <v>100278</v>
      </c>
      <c r="B279" s="1">
        <v>46200</v>
      </c>
      <c r="C279" t="s">
        <v>25</v>
      </c>
      <c r="D279" t="s">
        <v>26</v>
      </c>
      <c r="E279" t="s">
        <v>43</v>
      </c>
      <c r="F279" t="s">
        <v>27</v>
      </c>
      <c r="G279" t="s">
        <v>38</v>
      </c>
      <c r="H279" t="s">
        <v>190</v>
      </c>
      <c r="I279" t="s">
        <v>22</v>
      </c>
      <c r="J279">
        <v>3</v>
      </c>
      <c r="K279">
        <v>26000</v>
      </c>
      <c r="L279">
        <v>0.1</v>
      </c>
      <c r="M279">
        <v>56160</v>
      </c>
      <c r="N279">
        <v>15000</v>
      </c>
      <c r="O279" t="s">
        <v>23</v>
      </c>
      <c r="P279" t="s">
        <v>54</v>
      </c>
    </row>
    <row r="280" spans="1:16" x14ac:dyDescent="0.35">
      <c r="A280">
        <v>100279</v>
      </c>
      <c r="B280" s="1">
        <v>46074</v>
      </c>
      <c r="C280" t="s">
        <v>16</v>
      </c>
      <c r="D280" t="s">
        <v>17</v>
      </c>
      <c r="E280" t="s">
        <v>37</v>
      </c>
      <c r="F280" t="s">
        <v>44</v>
      </c>
      <c r="G280" t="s">
        <v>45</v>
      </c>
      <c r="H280" t="s">
        <v>39</v>
      </c>
      <c r="I280" t="s">
        <v>30</v>
      </c>
      <c r="J280">
        <v>4</v>
      </c>
      <c r="K280">
        <v>6500</v>
      </c>
      <c r="L280">
        <v>0.15</v>
      </c>
      <c r="M280">
        <v>22100</v>
      </c>
      <c r="N280">
        <v>2200</v>
      </c>
      <c r="O280" t="s">
        <v>23</v>
      </c>
      <c r="P280" t="s">
        <v>64</v>
      </c>
    </row>
    <row r="281" spans="1:16" x14ac:dyDescent="0.35">
      <c r="A281">
        <v>100280</v>
      </c>
      <c r="B281" s="1">
        <v>46189</v>
      </c>
      <c r="C281" t="s">
        <v>25</v>
      </c>
      <c r="D281" t="s">
        <v>26</v>
      </c>
      <c r="E281" t="s">
        <v>18</v>
      </c>
      <c r="F281" t="s">
        <v>27</v>
      </c>
      <c r="G281" t="s">
        <v>33</v>
      </c>
      <c r="H281" t="s">
        <v>210</v>
      </c>
      <c r="I281" t="s">
        <v>30</v>
      </c>
      <c r="J281">
        <v>1</v>
      </c>
      <c r="K281">
        <v>32000</v>
      </c>
      <c r="L281">
        <v>0.05</v>
      </c>
      <c r="M281">
        <v>30400</v>
      </c>
      <c r="N281">
        <v>19000</v>
      </c>
      <c r="O281" t="s">
        <v>23</v>
      </c>
      <c r="P281" t="s">
        <v>40</v>
      </c>
    </row>
    <row r="282" spans="1:16" x14ac:dyDescent="0.35">
      <c r="A282">
        <v>100281</v>
      </c>
      <c r="B282" s="1">
        <v>46157</v>
      </c>
      <c r="C282" t="s">
        <v>25</v>
      </c>
      <c r="D282" t="s">
        <v>26</v>
      </c>
      <c r="E282" t="s">
        <v>18</v>
      </c>
      <c r="F282" t="s">
        <v>27</v>
      </c>
      <c r="G282" t="s">
        <v>38</v>
      </c>
      <c r="H282" t="s">
        <v>211</v>
      </c>
      <c r="I282" t="s">
        <v>22</v>
      </c>
      <c r="J282">
        <v>1</v>
      </c>
      <c r="K282">
        <v>26000</v>
      </c>
      <c r="L282">
        <v>0.15</v>
      </c>
      <c r="M282">
        <v>22100</v>
      </c>
      <c r="N282">
        <v>15000</v>
      </c>
      <c r="O282" t="s">
        <v>23</v>
      </c>
      <c r="P282" t="s">
        <v>47</v>
      </c>
    </row>
    <row r="283" spans="1:16" x14ac:dyDescent="0.35">
      <c r="A283">
        <v>100282</v>
      </c>
      <c r="B283" s="1">
        <v>46149</v>
      </c>
      <c r="C283" t="s">
        <v>25</v>
      </c>
      <c r="D283" t="s">
        <v>26</v>
      </c>
      <c r="E283" t="s">
        <v>43</v>
      </c>
      <c r="F283" t="s">
        <v>27</v>
      </c>
      <c r="G283" t="s">
        <v>38</v>
      </c>
      <c r="H283" t="s">
        <v>126</v>
      </c>
      <c r="I283" t="s">
        <v>30</v>
      </c>
      <c r="J283">
        <v>2</v>
      </c>
      <c r="K283">
        <v>26000</v>
      </c>
      <c r="L283">
        <v>0.05</v>
      </c>
      <c r="M283">
        <v>49400</v>
      </c>
      <c r="N283">
        <v>15000</v>
      </c>
      <c r="O283" t="s">
        <v>23</v>
      </c>
      <c r="P283" t="s">
        <v>31</v>
      </c>
    </row>
    <row r="284" spans="1:16" x14ac:dyDescent="0.35">
      <c r="A284">
        <v>100283</v>
      </c>
      <c r="B284" s="1">
        <v>46260</v>
      </c>
      <c r="C284" t="s">
        <v>25</v>
      </c>
      <c r="D284" t="s">
        <v>26</v>
      </c>
      <c r="E284" t="s">
        <v>43</v>
      </c>
      <c r="F284" t="s">
        <v>19</v>
      </c>
      <c r="G284" t="s">
        <v>20</v>
      </c>
      <c r="H284" t="s">
        <v>125</v>
      </c>
      <c r="I284" t="s">
        <v>30</v>
      </c>
      <c r="J284">
        <v>1</v>
      </c>
      <c r="K284">
        <v>58000</v>
      </c>
      <c r="L284">
        <v>0.05</v>
      </c>
      <c r="M284">
        <v>55100</v>
      </c>
      <c r="N284">
        <v>39000</v>
      </c>
      <c r="O284" t="s">
        <v>23</v>
      </c>
      <c r="P284" t="s">
        <v>47</v>
      </c>
    </row>
    <row r="285" spans="1:16" x14ac:dyDescent="0.35">
      <c r="A285">
        <v>100284</v>
      </c>
      <c r="B285" s="1">
        <v>46245</v>
      </c>
      <c r="C285" t="s">
        <v>16</v>
      </c>
      <c r="D285" t="s">
        <v>17</v>
      </c>
      <c r="E285" t="s">
        <v>43</v>
      </c>
      <c r="F285" t="s">
        <v>19</v>
      </c>
      <c r="G285" t="s">
        <v>62</v>
      </c>
      <c r="H285" t="s">
        <v>212</v>
      </c>
      <c r="I285" t="s">
        <v>22</v>
      </c>
      <c r="J285">
        <v>4</v>
      </c>
      <c r="K285">
        <v>24000</v>
      </c>
      <c r="L285">
        <v>0.1</v>
      </c>
      <c r="M285">
        <v>95040</v>
      </c>
      <c r="N285">
        <v>15000</v>
      </c>
      <c r="O285" t="s">
        <v>23</v>
      </c>
      <c r="P285" t="s">
        <v>54</v>
      </c>
    </row>
    <row r="286" spans="1:16" x14ac:dyDescent="0.35">
      <c r="A286">
        <v>100285</v>
      </c>
      <c r="B286" s="1">
        <v>46221</v>
      </c>
      <c r="C286" t="s">
        <v>35</v>
      </c>
      <c r="D286" t="s">
        <v>36</v>
      </c>
      <c r="E286" t="s">
        <v>37</v>
      </c>
      <c r="F286" t="s">
        <v>19</v>
      </c>
      <c r="G286" t="s">
        <v>62</v>
      </c>
      <c r="H286" t="s">
        <v>165</v>
      </c>
      <c r="I286" t="s">
        <v>30</v>
      </c>
      <c r="J286">
        <v>1</v>
      </c>
      <c r="K286">
        <v>24000</v>
      </c>
      <c r="L286">
        <v>0.05</v>
      </c>
      <c r="M286">
        <v>22800</v>
      </c>
      <c r="N286">
        <v>15000</v>
      </c>
      <c r="O286" t="s">
        <v>23</v>
      </c>
      <c r="P286" t="s">
        <v>58</v>
      </c>
    </row>
    <row r="287" spans="1:16" x14ac:dyDescent="0.35">
      <c r="A287">
        <v>100286</v>
      </c>
      <c r="B287" s="1">
        <v>46097</v>
      </c>
      <c r="C287" t="s">
        <v>35</v>
      </c>
      <c r="D287" t="s">
        <v>36</v>
      </c>
      <c r="E287" t="s">
        <v>37</v>
      </c>
      <c r="F287" t="s">
        <v>44</v>
      </c>
      <c r="G287" t="s">
        <v>60</v>
      </c>
      <c r="H287" t="s">
        <v>213</v>
      </c>
      <c r="I287" t="s">
        <v>30</v>
      </c>
      <c r="J287">
        <v>1</v>
      </c>
      <c r="K287">
        <v>9000</v>
      </c>
      <c r="L287">
        <v>0.1</v>
      </c>
      <c r="M287">
        <v>8100</v>
      </c>
      <c r="N287">
        <v>3500</v>
      </c>
      <c r="O287" t="s">
        <v>23</v>
      </c>
      <c r="P287" t="s">
        <v>84</v>
      </c>
    </row>
    <row r="288" spans="1:16" x14ac:dyDescent="0.35">
      <c r="A288">
        <v>100287</v>
      </c>
      <c r="B288" s="1">
        <v>46078</v>
      </c>
      <c r="C288" t="s">
        <v>55</v>
      </c>
      <c r="D288" t="s">
        <v>56</v>
      </c>
      <c r="E288" t="s">
        <v>37</v>
      </c>
      <c r="F288" t="s">
        <v>27</v>
      </c>
      <c r="G288" t="s">
        <v>33</v>
      </c>
      <c r="H288" t="s">
        <v>214</v>
      </c>
      <c r="I288" t="s">
        <v>22</v>
      </c>
      <c r="J288">
        <v>3</v>
      </c>
      <c r="K288">
        <v>32000</v>
      </c>
      <c r="L288">
        <v>0.05</v>
      </c>
      <c r="M288">
        <v>91200</v>
      </c>
      <c r="N288">
        <v>19000</v>
      </c>
      <c r="O288" t="s">
        <v>23</v>
      </c>
      <c r="P288" t="s">
        <v>40</v>
      </c>
    </row>
    <row r="289" spans="1:16" x14ac:dyDescent="0.35">
      <c r="A289">
        <v>100288</v>
      </c>
      <c r="B289" s="1">
        <v>46177</v>
      </c>
      <c r="C289" t="s">
        <v>50</v>
      </c>
      <c r="D289" t="s">
        <v>51</v>
      </c>
      <c r="E289" t="s">
        <v>43</v>
      </c>
      <c r="F289" t="s">
        <v>27</v>
      </c>
      <c r="G289" t="s">
        <v>38</v>
      </c>
      <c r="H289" t="s">
        <v>154</v>
      </c>
      <c r="I289" t="s">
        <v>30</v>
      </c>
      <c r="J289">
        <v>1</v>
      </c>
      <c r="K289">
        <v>26000</v>
      </c>
      <c r="L289">
        <v>0.05</v>
      </c>
      <c r="M289">
        <v>24700</v>
      </c>
      <c r="N289">
        <v>15000</v>
      </c>
      <c r="O289" t="s">
        <v>23</v>
      </c>
      <c r="P289" t="s">
        <v>24</v>
      </c>
    </row>
    <row r="290" spans="1:16" x14ac:dyDescent="0.35">
      <c r="A290">
        <v>100289</v>
      </c>
      <c r="B290" s="1">
        <v>46224</v>
      </c>
      <c r="C290" t="s">
        <v>25</v>
      </c>
      <c r="D290" t="s">
        <v>26</v>
      </c>
      <c r="E290" t="s">
        <v>43</v>
      </c>
      <c r="F290" t="s">
        <v>27</v>
      </c>
      <c r="G290" t="s">
        <v>33</v>
      </c>
      <c r="H290" t="s">
        <v>215</v>
      </c>
      <c r="I290" t="s">
        <v>22</v>
      </c>
      <c r="J290">
        <v>3</v>
      </c>
      <c r="K290">
        <v>32000</v>
      </c>
      <c r="L290">
        <v>0.1</v>
      </c>
      <c r="M290">
        <v>86400</v>
      </c>
      <c r="N290">
        <v>19000</v>
      </c>
      <c r="O290" t="s">
        <v>23</v>
      </c>
      <c r="P290" t="s">
        <v>58</v>
      </c>
    </row>
    <row r="291" spans="1:16" x14ac:dyDescent="0.35">
      <c r="A291">
        <v>100290</v>
      </c>
      <c r="B291" s="1">
        <v>46116</v>
      </c>
      <c r="C291" t="s">
        <v>25</v>
      </c>
      <c r="D291" t="s">
        <v>26</v>
      </c>
      <c r="E291" t="s">
        <v>43</v>
      </c>
      <c r="F291" t="s">
        <v>27</v>
      </c>
      <c r="G291" t="s">
        <v>33</v>
      </c>
      <c r="H291" t="s">
        <v>29</v>
      </c>
      <c r="I291" t="s">
        <v>30</v>
      </c>
      <c r="J291">
        <v>5</v>
      </c>
      <c r="K291">
        <v>32000</v>
      </c>
      <c r="L291">
        <v>0.15</v>
      </c>
      <c r="M291">
        <v>136000</v>
      </c>
      <c r="N291">
        <v>19000</v>
      </c>
      <c r="O291" t="s">
        <v>23</v>
      </c>
      <c r="P291" t="s">
        <v>64</v>
      </c>
    </row>
    <row r="292" spans="1:16" x14ac:dyDescent="0.35">
      <c r="A292">
        <v>100291</v>
      </c>
      <c r="B292" s="1">
        <v>46110</v>
      </c>
      <c r="C292" t="s">
        <v>50</v>
      </c>
      <c r="D292" t="s">
        <v>51</v>
      </c>
      <c r="E292" t="s">
        <v>43</v>
      </c>
      <c r="F292" t="s">
        <v>27</v>
      </c>
      <c r="G292" t="s">
        <v>33</v>
      </c>
      <c r="H292" t="s">
        <v>79</v>
      </c>
      <c r="I292" t="s">
        <v>30</v>
      </c>
      <c r="J292">
        <v>1</v>
      </c>
      <c r="K292">
        <v>32000</v>
      </c>
      <c r="L292">
        <v>0.1</v>
      </c>
      <c r="M292">
        <v>28800</v>
      </c>
      <c r="N292">
        <v>19000</v>
      </c>
      <c r="O292" t="s">
        <v>23</v>
      </c>
      <c r="P292" t="s">
        <v>54</v>
      </c>
    </row>
    <row r="293" spans="1:16" x14ac:dyDescent="0.35">
      <c r="A293">
        <v>100292</v>
      </c>
      <c r="B293" s="1">
        <v>46130</v>
      </c>
      <c r="C293" t="s">
        <v>42</v>
      </c>
      <c r="D293" t="s">
        <v>26</v>
      </c>
      <c r="E293" t="s">
        <v>18</v>
      </c>
      <c r="F293" t="s">
        <v>27</v>
      </c>
      <c r="G293" t="s">
        <v>28</v>
      </c>
      <c r="H293" t="s">
        <v>90</v>
      </c>
      <c r="I293" t="s">
        <v>30</v>
      </c>
      <c r="J293">
        <v>1</v>
      </c>
      <c r="K293">
        <v>165000</v>
      </c>
      <c r="L293">
        <v>0.15</v>
      </c>
      <c r="M293">
        <v>140250</v>
      </c>
      <c r="N293">
        <v>112000</v>
      </c>
      <c r="O293" t="s">
        <v>23</v>
      </c>
      <c r="P293" t="s">
        <v>64</v>
      </c>
    </row>
    <row r="294" spans="1:16" x14ac:dyDescent="0.35">
      <c r="A294">
        <v>100293</v>
      </c>
      <c r="B294" s="1">
        <v>46122</v>
      </c>
      <c r="C294" t="s">
        <v>55</v>
      </c>
      <c r="D294" t="s">
        <v>56</v>
      </c>
      <c r="E294" t="s">
        <v>18</v>
      </c>
      <c r="F294" t="s">
        <v>44</v>
      </c>
      <c r="G294" t="s">
        <v>65</v>
      </c>
      <c r="H294" t="s">
        <v>133</v>
      </c>
      <c r="I294" t="s">
        <v>22</v>
      </c>
      <c r="J294">
        <v>2</v>
      </c>
      <c r="K294">
        <v>28000</v>
      </c>
      <c r="L294">
        <v>0</v>
      </c>
      <c r="M294">
        <v>56000</v>
      </c>
      <c r="N294">
        <v>16000</v>
      </c>
      <c r="O294" t="s">
        <v>23</v>
      </c>
      <c r="P294" t="s">
        <v>47</v>
      </c>
    </row>
    <row r="295" spans="1:16" x14ac:dyDescent="0.35">
      <c r="A295">
        <v>100294</v>
      </c>
      <c r="B295" s="1">
        <v>46223</v>
      </c>
      <c r="C295" t="s">
        <v>50</v>
      </c>
      <c r="D295" t="s">
        <v>51</v>
      </c>
      <c r="E295" t="s">
        <v>43</v>
      </c>
      <c r="F295" t="s">
        <v>27</v>
      </c>
      <c r="G295" t="s">
        <v>38</v>
      </c>
      <c r="H295" t="s">
        <v>210</v>
      </c>
      <c r="I295" t="s">
        <v>22</v>
      </c>
      <c r="J295">
        <v>3</v>
      </c>
      <c r="K295">
        <v>26000</v>
      </c>
      <c r="L295">
        <v>0.1</v>
      </c>
      <c r="M295">
        <v>63180</v>
      </c>
      <c r="N295">
        <v>15000</v>
      </c>
      <c r="O295" t="s">
        <v>23</v>
      </c>
      <c r="P295" t="s">
        <v>54</v>
      </c>
    </row>
    <row r="296" spans="1:16" x14ac:dyDescent="0.35">
      <c r="A296">
        <v>100295</v>
      </c>
      <c r="B296" s="1">
        <v>46066</v>
      </c>
      <c r="C296" t="s">
        <v>50</v>
      </c>
      <c r="D296" t="s">
        <v>51</v>
      </c>
      <c r="E296" t="s">
        <v>18</v>
      </c>
      <c r="F296" t="s">
        <v>27</v>
      </c>
      <c r="G296" t="s">
        <v>33</v>
      </c>
      <c r="H296" t="s">
        <v>216</v>
      </c>
      <c r="I296" t="s">
        <v>22</v>
      </c>
      <c r="J296">
        <v>1</v>
      </c>
      <c r="K296">
        <v>32000</v>
      </c>
      <c r="L296">
        <v>0.15</v>
      </c>
      <c r="M296">
        <v>27200</v>
      </c>
      <c r="N296">
        <v>19000</v>
      </c>
      <c r="O296" t="s">
        <v>76</v>
      </c>
      <c r="P296" t="s">
        <v>31</v>
      </c>
    </row>
    <row r="297" spans="1:16" x14ac:dyDescent="0.35">
      <c r="A297">
        <v>100296</v>
      </c>
      <c r="B297" s="1">
        <v>46138</v>
      </c>
      <c r="C297" t="s">
        <v>50</v>
      </c>
      <c r="D297" t="s">
        <v>51</v>
      </c>
      <c r="E297" t="s">
        <v>18</v>
      </c>
      <c r="F297" t="s">
        <v>27</v>
      </c>
      <c r="G297" t="s">
        <v>33</v>
      </c>
      <c r="H297" t="s">
        <v>144</v>
      </c>
      <c r="I297" t="s">
        <v>22</v>
      </c>
      <c r="J297">
        <v>2</v>
      </c>
      <c r="K297">
        <v>32000</v>
      </c>
      <c r="L297">
        <v>0.05</v>
      </c>
      <c r="M297">
        <v>72960</v>
      </c>
      <c r="O297" t="s">
        <v>76</v>
      </c>
      <c r="P297" t="s">
        <v>47</v>
      </c>
    </row>
    <row r="298" spans="1:16" x14ac:dyDescent="0.35">
      <c r="A298">
        <v>100297</v>
      </c>
      <c r="B298" s="1">
        <v>46038</v>
      </c>
      <c r="C298" t="s">
        <v>50</v>
      </c>
      <c r="D298" t="s">
        <v>51</v>
      </c>
      <c r="E298" t="s">
        <v>37</v>
      </c>
      <c r="F298" t="s">
        <v>19</v>
      </c>
      <c r="G298" t="s">
        <v>20</v>
      </c>
      <c r="H298" t="s">
        <v>39</v>
      </c>
      <c r="I298" t="s">
        <v>22</v>
      </c>
      <c r="J298">
        <v>1</v>
      </c>
      <c r="K298">
        <v>58000</v>
      </c>
      <c r="L298">
        <v>0</v>
      </c>
      <c r="M298">
        <v>58000</v>
      </c>
      <c r="N298">
        <v>39000</v>
      </c>
      <c r="O298" t="s">
        <v>23</v>
      </c>
      <c r="P298" t="s">
        <v>24</v>
      </c>
    </row>
    <row r="299" spans="1:16" x14ac:dyDescent="0.35">
      <c r="A299">
        <v>100298</v>
      </c>
      <c r="B299" s="1">
        <v>46054</v>
      </c>
      <c r="C299" t="s">
        <v>42</v>
      </c>
      <c r="D299" t="s">
        <v>26</v>
      </c>
      <c r="E299" t="s">
        <v>37</v>
      </c>
      <c r="F299" t="s">
        <v>27</v>
      </c>
      <c r="G299" t="s">
        <v>38</v>
      </c>
      <c r="H299" t="s">
        <v>217</v>
      </c>
      <c r="I299" t="s">
        <v>30</v>
      </c>
      <c r="J299">
        <v>4</v>
      </c>
      <c r="K299">
        <v>26000</v>
      </c>
      <c r="L299">
        <v>0.1</v>
      </c>
      <c r="M299">
        <v>93600</v>
      </c>
      <c r="N299">
        <v>15000</v>
      </c>
      <c r="O299" t="s">
        <v>23</v>
      </c>
      <c r="P299" t="s">
        <v>54</v>
      </c>
    </row>
    <row r="300" spans="1:16" x14ac:dyDescent="0.35">
      <c r="A300">
        <v>100299</v>
      </c>
      <c r="B300" s="1">
        <v>46209</v>
      </c>
      <c r="C300" t="s">
        <v>25</v>
      </c>
      <c r="D300" t="s">
        <v>26</v>
      </c>
      <c r="E300" t="s">
        <v>43</v>
      </c>
      <c r="F300" t="s">
        <v>44</v>
      </c>
      <c r="G300" t="s">
        <v>65</v>
      </c>
      <c r="H300" t="s">
        <v>141</v>
      </c>
      <c r="I300" t="s">
        <v>30</v>
      </c>
      <c r="J300">
        <v>2</v>
      </c>
      <c r="K300">
        <v>28000</v>
      </c>
      <c r="L300">
        <v>0.1</v>
      </c>
      <c r="M300">
        <v>50400</v>
      </c>
      <c r="N300">
        <v>16000</v>
      </c>
      <c r="O300" t="s">
        <v>23</v>
      </c>
      <c r="P300" t="s">
        <v>31</v>
      </c>
    </row>
    <row r="301" spans="1:16" x14ac:dyDescent="0.35">
      <c r="A301">
        <v>100300</v>
      </c>
      <c r="B301" s="1">
        <v>46028</v>
      </c>
      <c r="C301" t="s">
        <v>55</v>
      </c>
      <c r="D301" t="s">
        <v>56</v>
      </c>
      <c r="E301" t="s">
        <v>18</v>
      </c>
      <c r="F301" t="s">
        <v>44</v>
      </c>
      <c r="G301" t="s">
        <v>45</v>
      </c>
      <c r="H301" t="s">
        <v>193</v>
      </c>
      <c r="I301" t="s">
        <v>22</v>
      </c>
      <c r="J301">
        <v>4</v>
      </c>
      <c r="K301">
        <v>6500</v>
      </c>
      <c r="L301">
        <v>0.1</v>
      </c>
      <c r="M301">
        <v>23400</v>
      </c>
      <c r="N301">
        <v>2200</v>
      </c>
      <c r="O301" t="s">
        <v>23</v>
      </c>
      <c r="P301" t="s">
        <v>31</v>
      </c>
    </row>
    <row r="302" spans="1:16" x14ac:dyDescent="0.35">
      <c r="A302">
        <v>100301</v>
      </c>
      <c r="B302" s="1">
        <v>46087</v>
      </c>
      <c r="C302" t="s">
        <v>42</v>
      </c>
      <c r="D302" t="s">
        <v>26</v>
      </c>
      <c r="E302" t="s">
        <v>43</v>
      </c>
      <c r="F302" t="s">
        <v>27</v>
      </c>
      <c r="G302" t="s">
        <v>38</v>
      </c>
      <c r="H302" t="s">
        <v>95</v>
      </c>
      <c r="I302" t="s">
        <v>30</v>
      </c>
      <c r="J302">
        <v>5</v>
      </c>
      <c r="K302">
        <v>26000</v>
      </c>
      <c r="L302">
        <v>0.05</v>
      </c>
      <c r="M302">
        <v>98800</v>
      </c>
      <c r="N302">
        <v>15000</v>
      </c>
      <c r="O302" t="s">
        <v>76</v>
      </c>
      <c r="P302" t="s">
        <v>84</v>
      </c>
    </row>
    <row r="303" spans="1:16" x14ac:dyDescent="0.35">
      <c r="A303">
        <v>100302</v>
      </c>
      <c r="B303" s="1">
        <v>46081</v>
      </c>
      <c r="C303" t="s">
        <v>42</v>
      </c>
      <c r="D303" t="s">
        <v>26</v>
      </c>
      <c r="E303" t="s">
        <v>43</v>
      </c>
      <c r="F303" t="s">
        <v>44</v>
      </c>
      <c r="G303" t="s">
        <v>65</v>
      </c>
      <c r="H303" t="s">
        <v>99</v>
      </c>
      <c r="I303" t="s">
        <v>30</v>
      </c>
      <c r="J303">
        <v>4</v>
      </c>
      <c r="K303">
        <v>28000</v>
      </c>
      <c r="L303">
        <v>0</v>
      </c>
      <c r="M303">
        <v>112000</v>
      </c>
      <c r="N303">
        <v>16000</v>
      </c>
      <c r="O303" t="s">
        <v>23</v>
      </c>
      <c r="P303" t="s">
        <v>47</v>
      </c>
    </row>
    <row r="304" spans="1:16" x14ac:dyDescent="0.35">
      <c r="A304">
        <v>100303</v>
      </c>
      <c r="B304" s="1">
        <v>46069</v>
      </c>
      <c r="C304" t="s">
        <v>50</v>
      </c>
      <c r="D304" t="s">
        <v>51</v>
      </c>
      <c r="E304" t="s">
        <v>43</v>
      </c>
      <c r="F304" t="s">
        <v>44</v>
      </c>
      <c r="G304" t="s">
        <v>60</v>
      </c>
      <c r="H304" t="s">
        <v>117</v>
      </c>
      <c r="I304" t="s">
        <v>30</v>
      </c>
      <c r="J304">
        <v>2</v>
      </c>
      <c r="K304">
        <v>9000</v>
      </c>
      <c r="L304">
        <v>0.1</v>
      </c>
      <c r="M304">
        <v>16200</v>
      </c>
      <c r="N304">
        <v>3500</v>
      </c>
      <c r="O304" t="s">
        <v>23</v>
      </c>
      <c r="P304" t="s">
        <v>64</v>
      </c>
    </row>
    <row r="305" spans="1:16" x14ac:dyDescent="0.35">
      <c r="A305">
        <v>100304</v>
      </c>
      <c r="B305" s="1">
        <v>46204</v>
      </c>
      <c r="C305" t="s">
        <v>35</v>
      </c>
      <c r="D305" t="s">
        <v>36</v>
      </c>
      <c r="E305" t="s">
        <v>18</v>
      </c>
      <c r="F305" t="s">
        <v>19</v>
      </c>
      <c r="G305" t="s">
        <v>20</v>
      </c>
      <c r="H305" t="s">
        <v>218</v>
      </c>
      <c r="I305" t="s">
        <v>22</v>
      </c>
      <c r="J305">
        <v>5</v>
      </c>
      <c r="K305">
        <v>58000</v>
      </c>
      <c r="L305">
        <v>0.1</v>
      </c>
      <c r="M305">
        <v>261000</v>
      </c>
      <c r="N305">
        <v>39000</v>
      </c>
      <c r="O305" t="s">
        <v>23</v>
      </c>
      <c r="P305" t="s">
        <v>47</v>
      </c>
    </row>
    <row r="306" spans="1:16" x14ac:dyDescent="0.35">
      <c r="A306">
        <v>100305</v>
      </c>
      <c r="B306" s="1">
        <v>46032</v>
      </c>
      <c r="C306" t="s">
        <v>25</v>
      </c>
      <c r="D306" t="s">
        <v>26</v>
      </c>
      <c r="E306" t="s">
        <v>37</v>
      </c>
      <c r="F306" t="s">
        <v>27</v>
      </c>
      <c r="G306" t="s">
        <v>33</v>
      </c>
      <c r="H306" t="s">
        <v>168</v>
      </c>
      <c r="I306" t="s">
        <v>30</v>
      </c>
      <c r="J306">
        <v>2</v>
      </c>
      <c r="K306">
        <v>32000</v>
      </c>
      <c r="L306">
        <v>0.05</v>
      </c>
      <c r="M306">
        <v>60800</v>
      </c>
      <c r="N306">
        <v>19000</v>
      </c>
      <c r="O306" t="s">
        <v>23</v>
      </c>
      <c r="P306" t="s">
        <v>40</v>
      </c>
    </row>
    <row r="307" spans="1:16" x14ac:dyDescent="0.35">
      <c r="A307">
        <v>100306</v>
      </c>
      <c r="B307" s="1">
        <v>46095</v>
      </c>
      <c r="C307" t="s">
        <v>55</v>
      </c>
      <c r="D307" t="s">
        <v>56</v>
      </c>
      <c r="E307" t="s">
        <v>43</v>
      </c>
      <c r="F307" t="s">
        <v>44</v>
      </c>
      <c r="G307" t="s">
        <v>60</v>
      </c>
      <c r="H307" t="s">
        <v>217</v>
      </c>
      <c r="I307" t="s">
        <v>22</v>
      </c>
      <c r="J307">
        <v>1</v>
      </c>
      <c r="K307">
        <v>9000</v>
      </c>
      <c r="L307">
        <v>0.15</v>
      </c>
      <c r="M307">
        <v>7650</v>
      </c>
      <c r="N307">
        <v>3500</v>
      </c>
      <c r="O307" t="s">
        <v>23</v>
      </c>
      <c r="P307" t="s">
        <v>84</v>
      </c>
    </row>
    <row r="308" spans="1:16" x14ac:dyDescent="0.35">
      <c r="A308">
        <v>100307</v>
      </c>
      <c r="B308" s="1">
        <v>46201</v>
      </c>
      <c r="C308" t="s">
        <v>50</v>
      </c>
      <c r="D308" t="s">
        <v>51</v>
      </c>
      <c r="E308" t="s">
        <v>37</v>
      </c>
      <c r="F308" t="s">
        <v>27</v>
      </c>
      <c r="G308" t="s">
        <v>38</v>
      </c>
      <c r="H308" t="s">
        <v>219</v>
      </c>
      <c r="I308" t="s">
        <v>22</v>
      </c>
      <c r="J308">
        <v>3</v>
      </c>
      <c r="K308">
        <v>26000</v>
      </c>
      <c r="L308">
        <v>0</v>
      </c>
      <c r="M308">
        <v>78000</v>
      </c>
      <c r="N308">
        <v>15000</v>
      </c>
      <c r="O308" t="s">
        <v>23</v>
      </c>
      <c r="P308" t="s">
        <v>64</v>
      </c>
    </row>
    <row r="309" spans="1:16" x14ac:dyDescent="0.35">
      <c r="A309">
        <v>100308</v>
      </c>
      <c r="B309" s="1">
        <v>46238</v>
      </c>
      <c r="C309" t="s">
        <v>42</v>
      </c>
      <c r="D309" t="s">
        <v>26</v>
      </c>
      <c r="E309" t="s">
        <v>37</v>
      </c>
      <c r="F309" t="s">
        <v>19</v>
      </c>
      <c r="G309" t="s">
        <v>52</v>
      </c>
      <c r="H309" t="s">
        <v>163</v>
      </c>
      <c r="I309" t="s">
        <v>30</v>
      </c>
      <c r="J309">
        <v>1</v>
      </c>
      <c r="K309">
        <v>42000</v>
      </c>
      <c r="L309">
        <v>0.05</v>
      </c>
      <c r="M309">
        <v>39900</v>
      </c>
      <c r="N309">
        <v>28000</v>
      </c>
      <c r="O309" t="s">
        <v>23</v>
      </c>
      <c r="P309" t="s">
        <v>84</v>
      </c>
    </row>
    <row r="310" spans="1:16" x14ac:dyDescent="0.35">
      <c r="A310">
        <v>100309</v>
      </c>
      <c r="B310" s="1">
        <v>46154</v>
      </c>
      <c r="C310" t="s">
        <v>42</v>
      </c>
      <c r="D310" t="s">
        <v>26</v>
      </c>
      <c r="E310" t="s">
        <v>43</v>
      </c>
      <c r="F310" t="s">
        <v>44</v>
      </c>
      <c r="G310" t="s">
        <v>45</v>
      </c>
      <c r="H310" t="s">
        <v>220</v>
      </c>
      <c r="I310" t="s">
        <v>22</v>
      </c>
      <c r="J310">
        <v>3</v>
      </c>
      <c r="K310">
        <v>6500</v>
      </c>
      <c r="L310">
        <v>0.15</v>
      </c>
      <c r="M310">
        <v>16575</v>
      </c>
      <c r="N310">
        <v>2200</v>
      </c>
      <c r="O310" t="s">
        <v>23</v>
      </c>
      <c r="P310" t="s">
        <v>64</v>
      </c>
    </row>
    <row r="311" spans="1:16" x14ac:dyDescent="0.35">
      <c r="A311">
        <v>100310</v>
      </c>
      <c r="B311" s="1">
        <v>46085</v>
      </c>
      <c r="C311" t="s">
        <v>25</v>
      </c>
      <c r="D311" t="s">
        <v>26</v>
      </c>
      <c r="E311" t="s">
        <v>37</v>
      </c>
      <c r="F311" t="s">
        <v>27</v>
      </c>
      <c r="G311" t="s">
        <v>33</v>
      </c>
      <c r="H311" t="s">
        <v>66</v>
      </c>
      <c r="I311" t="s">
        <v>22</v>
      </c>
      <c r="J311">
        <v>4</v>
      </c>
      <c r="K311">
        <v>32000</v>
      </c>
      <c r="L311">
        <v>0.1</v>
      </c>
      <c r="M311">
        <v>115200</v>
      </c>
      <c r="N311">
        <v>19000</v>
      </c>
      <c r="O311" t="s">
        <v>23</v>
      </c>
      <c r="P311" t="s">
        <v>64</v>
      </c>
    </row>
    <row r="312" spans="1:16" x14ac:dyDescent="0.35">
      <c r="A312">
        <v>100311</v>
      </c>
      <c r="B312" s="1">
        <v>46175</v>
      </c>
      <c r="C312" t="s">
        <v>32</v>
      </c>
      <c r="D312" t="s">
        <v>17</v>
      </c>
      <c r="E312" t="s">
        <v>37</v>
      </c>
      <c r="F312" t="s">
        <v>221</v>
      </c>
      <c r="G312" t="s">
        <v>45</v>
      </c>
      <c r="H312" t="s">
        <v>128</v>
      </c>
      <c r="I312" t="s">
        <v>30</v>
      </c>
      <c r="J312">
        <v>1</v>
      </c>
      <c r="K312">
        <v>6500</v>
      </c>
      <c r="L312">
        <v>0.05</v>
      </c>
      <c r="M312">
        <v>6175</v>
      </c>
      <c r="O312" t="s">
        <v>23</v>
      </c>
      <c r="P312" t="s">
        <v>84</v>
      </c>
    </row>
    <row r="313" spans="1:16" x14ac:dyDescent="0.35">
      <c r="A313">
        <v>100312</v>
      </c>
      <c r="B313" s="1">
        <v>46080</v>
      </c>
      <c r="C313" t="s">
        <v>42</v>
      </c>
      <c r="D313" t="s">
        <v>26</v>
      </c>
      <c r="E313" t="s">
        <v>43</v>
      </c>
      <c r="F313" t="s">
        <v>27</v>
      </c>
      <c r="G313" t="s">
        <v>33</v>
      </c>
      <c r="H313" t="s">
        <v>48</v>
      </c>
      <c r="I313" t="s">
        <v>22</v>
      </c>
      <c r="J313">
        <v>3</v>
      </c>
      <c r="K313">
        <v>32000</v>
      </c>
      <c r="L313">
        <v>0.15</v>
      </c>
      <c r="M313">
        <v>81600</v>
      </c>
      <c r="N313">
        <v>19000</v>
      </c>
      <c r="O313" t="s">
        <v>23</v>
      </c>
      <c r="P313" t="s">
        <v>31</v>
      </c>
    </row>
    <row r="314" spans="1:16" x14ac:dyDescent="0.35">
      <c r="A314">
        <v>100313</v>
      </c>
      <c r="B314" s="1">
        <v>46241</v>
      </c>
      <c r="C314" t="s">
        <v>25</v>
      </c>
      <c r="D314" t="s">
        <v>222</v>
      </c>
      <c r="E314" t="s">
        <v>43</v>
      </c>
      <c r="F314" t="s">
        <v>44</v>
      </c>
      <c r="G314" t="s">
        <v>45</v>
      </c>
      <c r="H314" t="s">
        <v>146</v>
      </c>
      <c r="I314" t="s">
        <v>30</v>
      </c>
      <c r="J314">
        <v>1</v>
      </c>
      <c r="K314">
        <v>6500</v>
      </c>
      <c r="L314">
        <v>0.05</v>
      </c>
      <c r="M314">
        <v>6175</v>
      </c>
      <c r="N314">
        <v>2200</v>
      </c>
      <c r="O314" t="s">
        <v>23</v>
      </c>
      <c r="P314" t="s">
        <v>58</v>
      </c>
    </row>
    <row r="315" spans="1:16" x14ac:dyDescent="0.35">
      <c r="A315">
        <v>100314</v>
      </c>
      <c r="B315" s="1">
        <v>46106</v>
      </c>
      <c r="C315" t="s">
        <v>42</v>
      </c>
      <c r="D315" t="s">
        <v>185</v>
      </c>
      <c r="E315" t="s">
        <v>43</v>
      </c>
      <c r="F315" t="s">
        <v>27</v>
      </c>
      <c r="G315" t="s">
        <v>28</v>
      </c>
      <c r="H315" t="s">
        <v>142</v>
      </c>
      <c r="I315" t="s">
        <v>30</v>
      </c>
      <c r="J315">
        <v>1</v>
      </c>
      <c r="K315">
        <v>165000</v>
      </c>
      <c r="L315">
        <v>0.1</v>
      </c>
      <c r="M315">
        <v>148500</v>
      </c>
      <c r="N315">
        <v>112000</v>
      </c>
      <c r="O315" t="s">
        <v>23</v>
      </c>
      <c r="P315" t="s">
        <v>40</v>
      </c>
    </row>
    <row r="316" spans="1:16" x14ac:dyDescent="0.35">
      <c r="A316">
        <v>100315</v>
      </c>
      <c r="B316" s="1">
        <v>46118</v>
      </c>
      <c r="C316" t="s">
        <v>42</v>
      </c>
      <c r="D316" t="s">
        <v>26</v>
      </c>
      <c r="E316" t="s">
        <v>18</v>
      </c>
      <c r="F316" t="s">
        <v>27</v>
      </c>
      <c r="G316" t="s">
        <v>38</v>
      </c>
      <c r="H316" t="s">
        <v>192</v>
      </c>
      <c r="I316" t="s">
        <v>30</v>
      </c>
      <c r="J316">
        <v>1</v>
      </c>
      <c r="K316">
        <v>26000</v>
      </c>
      <c r="L316">
        <v>0</v>
      </c>
      <c r="M316">
        <v>26000</v>
      </c>
      <c r="N316">
        <v>15000</v>
      </c>
      <c r="O316" t="s">
        <v>23</v>
      </c>
      <c r="P316" t="s">
        <v>24</v>
      </c>
    </row>
    <row r="317" spans="1:16" x14ac:dyDescent="0.35">
      <c r="A317">
        <v>100316</v>
      </c>
      <c r="B317" s="1">
        <v>46154</v>
      </c>
      <c r="C317" t="s">
        <v>35</v>
      </c>
      <c r="D317" t="s">
        <v>36</v>
      </c>
      <c r="E317" t="s">
        <v>37</v>
      </c>
      <c r="F317" t="s">
        <v>27</v>
      </c>
      <c r="G317" t="s">
        <v>33</v>
      </c>
      <c r="H317" t="s">
        <v>70</v>
      </c>
      <c r="I317" t="s">
        <v>22</v>
      </c>
      <c r="J317">
        <v>5</v>
      </c>
      <c r="K317">
        <v>32000</v>
      </c>
      <c r="L317">
        <v>0</v>
      </c>
      <c r="M317">
        <v>160000</v>
      </c>
      <c r="N317">
        <v>19000</v>
      </c>
      <c r="O317" t="s">
        <v>23</v>
      </c>
      <c r="P317" t="s">
        <v>24</v>
      </c>
    </row>
    <row r="318" spans="1:16" x14ac:dyDescent="0.35">
      <c r="A318">
        <v>100317</v>
      </c>
      <c r="B318" s="1">
        <v>46212</v>
      </c>
      <c r="C318" t="s">
        <v>50</v>
      </c>
      <c r="D318" t="s">
        <v>51</v>
      </c>
      <c r="E318" t="s">
        <v>43</v>
      </c>
      <c r="F318" t="s">
        <v>19</v>
      </c>
      <c r="G318" t="s">
        <v>62</v>
      </c>
      <c r="H318" t="s">
        <v>219</v>
      </c>
      <c r="I318" t="s">
        <v>30</v>
      </c>
      <c r="J318">
        <v>1</v>
      </c>
      <c r="K318">
        <v>24000</v>
      </c>
      <c r="L318">
        <v>0.05</v>
      </c>
      <c r="M318">
        <v>22800</v>
      </c>
      <c r="N318">
        <v>15000</v>
      </c>
      <c r="O318" t="s">
        <v>23</v>
      </c>
      <c r="P318" t="s">
        <v>31</v>
      </c>
    </row>
    <row r="319" spans="1:16" x14ac:dyDescent="0.35">
      <c r="A319">
        <v>100318</v>
      </c>
      <c r="B319" s="1">
        <v>46179</v>
      </c>
      <c r="C319" t="s">
        <v>35</v>
      </c>
      <c r="D319" t="s">
        <v>36</v>
      </c>
      <c r="E319" t="s">
        <v>43</v>
      </c>
      <c r="F319" t="s">
        <v>19</v>
      </c>
      <c r="G319" t="s">
        <v>20</v>
      </c>
      <c r="H319" t="s">
        <v>223</v>
      </c>
      <c r="I319" t="s">
        <v>30</v>
      </c>
      <c r="J319">
        <v>2</v>
      </c>
      <c r="K319">
        <v>58000</v>
      </c>
      <c r="L319">
        <v>0.05</v>
      </c>
      <c r="M319">
        <v>110200</v>
      </c>
      <c r="N319">
        <v>39000</v>
      </c>
      <c r="O319" t="s">
        <v>23</v>
      </c>
      <c r="P319" t="s">
        <v>40</v>
      </c>
    </row>
    <row r="320" spans="1:16" x14ac:dyDescent="0.35">
      <c r="A320">
        <v>100319</v>
      </c>
      <c r="B320" s="1">
        <v>46040</v>
      </c>
      <c r="C320" t="s">
        <v>16</v>
      </c>
      <c r="D320" t="s">
        <v>17</v>
      </c>
      <c r="E320" t="s">
        <v>43</v>
      </c>
      <c r="F320" t="s">
        <v>44</v>
      </c>
      <c r="G320" t="s">
        <v>65</v>
      </c>
      <c r="H320" t="s">
        <v>125</v>
      </c>
      <c r="I320" t="s">
        <v>22</v>
      </c>
      <c r="J320">
        <v>4</v>
      </c>
      <c r="K320">
        <v>28000</v>
      </c>
      <c r="L320">
        <v>0.15</v>
      </c>
      <c r="M320">
        <v>95200</v>
      </c>
      <c r="N320">
        <v>16000</v>
      </c>
      <c r="O320" t="s">
        <v>23</v>
      </c>
      <c r="P320" t="s">
        <v>58</v>
      </c>
    </row>
    <row r="321" spans="1:16" x14ac:dyDescent="0.35">
      <c r="A321">
        <v>100320</v>
      </c>
      <c r="B321" s="1">
        <v>46093</v>
      </c>
      <c r="C321" t="s">
        <v>32</v>
      </c>
      <c r="D321" t="s">
        <v>17</v>
      </c>
      <c r="E321" t="s">
        <v>43</v>
      </c>
      <c r="F321" t="s">
        <v>27</v>
      </c>
      <c r="G321" t="s">
        <v>33</v>
      </c>
      <c r="H321" t="s">
        <v>68</v>
      </c>
      <c r="I321" t="s">
        <v>30</v>
      </c>
      <c r="J321">
        <v>2</v>
      </c>
      <c r="K321">
        <v>32000</v>
      </c>
      <c r="L321">
        <v>0.2</v>
      </c>
      <c r="M321">
        <v>51200</v>
      </c>
      <c r="N321">
        <v>19000</v>
      </c>
      <c r="O321" t="s">
        <v>23</v>
      </c>
      <c r="P321" t="s">
        <v>54</v>
      </c>
    </row>
    <row r="322" spans="1:16" x14ac:dyDescent="0.35">
      <c r="A322">
        <v>100321</v>
      </c>
      <c r="B322" s="1">
        <v>46084</v>
      </c>
      <c r="C322" t="s">
        <v>25</v>
      </c>
      <c r="D322" t="s">
        <v>26</v>
      </c>
      <c r="E322" t="s">
        <v>43</v>
      </c>
      <c r="F322" t="s">
        <v>27</v>
      </c>
      <c r="G322" t="s">
        <v>28</v>
      </c>
      <c r="H322" t="s">
        <v>114</v>
      </c>
      <c r="I322" t="s">
        <v>30</v>
      </c>
      <c r="J322">
        <v>2</v>
      </c>
      <c r="K322">
        <v>165000</v>
      </c>
      <c r="L322">
        <v>0</v>
      </c>
      <c r="M322">
        <v>330000</v>
      </c>
      <c r="N322">
        <v>112000</v>
      </c>
      <c r="O322" t="s">
        <v>23</v>
      </c>
      <c r="P322" t="s">
        <v>31</v>
      </c>
    </row>
    <row r="323" spans="1:16" x14ac:dyDescent="0.35">
      <c r="A323">
        <v>100322</v>
      </c>
      <c r="B323" s="1">
        <v>46187</v>
      </c>
      <c r="C323" t="s">
        <v>42</v>
      </c>
      <c r="D323" t="s">
        <v>26</v>
      </c>
      <c r="E323" t="s">
        <v>37</v>
      </c>
      <c r="F323" t="s">
        <v>19</v>
      </c>
      <c r="G323" t="s">
        <v>62</v>
      </c>
      <c r="H323" t="s">
        <v>177</v>
      </c>
      <c r="I323" t="s">
        <v>22</v>
      </c>
      <c r="J323">
        <v>1</v>
      </c>
      <c r="K323">
        <v>24000</v>
      </c>
      <c r="L323">
        <v>0.1</v>
      </c>
      <c r="M323">
        <v>21600</v>
      </c>
      <c r="N323">
        <v>15000</v>
      </c>
      <c r="O323" t="s">
        <v>23</v>
      </c>
      <c r="P323" t="s">
        <v>40</v>
      </c>
    </row>
    <row r="324" spans="1:16" x14ac:dyDescent="0.35">
      <c r="A324">
        <v>100323</v>
      </c>
      <c r="B324" s="1">
        <v>46079</v>
      </c>
      <c r="C324" t="s">
        <v>50</v>
      </c>
      <c r="D324" t="s">
        <v>51</v>
      </c>
      <c r="E324" t="s">
        <v>18</v>
      </c>
      <c r="F324" t="s">
        <v>27</v>
      </c>
      <c r="G324" t="s">
        <v>28</v>
      </c>
      <c r="H324" t="s">
        <v>135</v>
      </c>
      <c r="I324" t="s">
        <v>30</v>
      </c>
      <c r="J324">
        <v>2</v>
      </c>
      <c r="K324">
        <v>165000</v>
      </c>
      <c r="L324">
        <v>0</v>
      </c>
      <c r="M324">
        <v>330000</v>
      </c>
      <c r="N324">
        <v>112000</v>
      </c>
      <c r="O324" t="s">
        <v>23</v>
      </c>
      <c r="P324" t="s">
        <v>24</v>
      </c>
    </row>
    <row r="325" spans="1:16" x14ac:dyDescent="0.35">
      <c r="A325">
        <v>100324</v>
      </c>
      <c r="B325" s="1">
        <v>46038</v>
      </c>
      <c r="C325" t="s">
        <v>50</v>
      </c>
      <c r="D325" t="s">
        <v>51</v>
      </c>
      <c r="E325" t="s">
        <v>43</v>
      </c>
      <c r="F325" t="s">
        <v>27</v>
      </c>
      <c r="G325" t="s">
        <v>28</v>
      </c>
      <c r="H325" t="s">
        <v>204</v>
      </c>
      <c r="I325" t="s">
        <v>22</v>
      </c>
      <c r="J325">
        <v>3</v>
      </c>
      <c r="K325">
        <v>165000</v>
      </c>
      <c r="L325">
        <v>0.1</v>
      </c>
      <c r="M325">
        <v>445500</v>
      </c>
      <c r="N325">
        <v>112000</v>
      </c>
      <c r="O325" t="s">
        <v>23</v>
      </c>
      <c r="P325" t="s">
        <v>58</v>
      </c>
    </row>
    <row r="326" spans="1:16" x14ac:dyDescent="0.35">
      <c r="A326">
        <v>100325</v>
      </c>
      <c r="B326" s="1">
        <v>46251</v>
      </c>
      <c r="C326" t="s">
        <v>35</v>
      </c>
      <c r="D326" t="s">
        <v>36</v>
      </c>
      <c r="E326" t="s">
        <v>18</v>
      </c>
      <c r="F326" t="s">
        <v>19</v>
      </c>
      <c r="G326" t="s">
        <v>52</v>
      </c>
      <c r="H326" t="s">
        <v>180</v>
      </c>
      <c r="I326" t="s">
        <v>30</v>
      </c>
      <c r="J326">
        <v>3</v>
      </c>
      <c r="K326">
        <v>42000</v>
      </c>
      <c r="L326">
        <v>0.05</v>
      </c>
      <c r="M326">
        <v>119700</v>
      </c>
      <c r="N326">
        <v>28000</v>
      </c>
      <c r="O326" t="s">
        <v>23</v>
      </c>
      <c r="P326" t="s">
        <v>24</v>
      </c>
    </row>
    <row r="327" spans="1:16" x14ac:dyDescent="0.35">
      <c r="A327">
        <v>100326</v>
      </c>
      <c r="B327" s="1">
        <v>46165</v>
      </c>
      <c r="C327" t="s">
        <v>50</v>
      </c>
      <c r="D327" t="s">
        <v>51</v>
      </c>
      <c r="E327" t="s">
        <v>37</v>
      </c>
      <c r="F327" t="s">
        <v>27</v>
      </c>
      <c r="G327" t="s">
        <v>33</v>
      </c>
      <c r="H327" t="s">
        <v>197</v>
      </c>
      <c r="I327" t="s">
        <v>30</v>
      </c>
      <c r="J327">
        <v>5</v>
      </c>
      <c r="K327">
        <v>32000</v>
      </c>
      <c r="L327">
        <v>0.05</v>
      </c>
      <c r="M327">
        <v>152000</v>
      </c>
      <c r="N327">
        <v>19000</v>
      </c>
      <c r="O327" t="s">
        <v>23</v>
      </c>
      <c r="P327" t="s">
        <v>40</v>
      </c>
    </row>
    <row r="328" spans="1:16" x14ac:dyDescent="0.35">
      <c r="A328">
        <v>100327</v>
      </c>
      <c r="B328" s="1">
        <v>46141</v>
      </c>
      <c r="C328" t="s">
        <v>42</v>
      </c>
      <c r="D328" t="s">
        <v>26</v>
      </c>
      <c r="E328" t="s">
        <v>43</v>
      </c>
      <c r="F328" t="s">
        <v>27</v>
      </c>
      <c r="G328" t="s">
        <v>38</v>
      </c>
      <c r="H328" t="s">
        <v>68</v>
      </c>
      <c r="I328" t="s">
        <v>22</v>
      </c>
      <c r="J328">
        <v>1</v>
      </c>
      <c r="K328">
        <v>26000</v>
      </c>
      <c r="L328">
        <v>0.1</v>
      </c>
      <c r="M328">
        <v>23400</v>
      </c>
      <c r="N328">
        <v>15000</v>
      </c>
      <c r="O328" t="s">
        <v>23</v>
      </c>
      <c r="P328" t="s">
        <v>31</v>
      </c>
    </row>
    <row r="329" spans="1:16" x14ac:dyDescent="0.35">
      <c r="A329">
        <v>100328</v>
      </c>
      <c r="B329" s="1">
        <v>46144</v>
      </c>
      <c r="C329" t="s">
        <v>35</v>
      </c>
      <c r="D329" t="s">
        <v>36</v>
      </c>
      <c r="E329" t="s">
        <v>18</v>
      </c>
      <c r="F329" t="s">
        <v>19</v>
      </c>
      <c r="G329" t="s">
        <v>52</v>
      </c>
      <c r="H329" t="s">
        <v>224</v>
      </c>
      <c r="I329" t="s">
        <v>30</v>
      </c>
      <c r="J329">
        <v>1</v>
      </c>
      <c r="K329">
        <v>42000</v>
      </c>
      <c r="L329">
        <v>0.05</v>
      </c>
      <c r="M329">
        <v>39900</v>
      </c>
      <c r="N329">
        <v>28000</v>
      </c>
      <c r="O329" t="s">
        <v>23</v>
      </c>
      <c r="P329" t="s">
        <v>40</v>
      </c>
    </row>
    <row r="330" spans="1:16" x14ac:dyDescent="0.35">
      <c r="A330">
        <v>100329</v>
      </c>
      <c r="B330" s="1">
        <v>46023</v>
      </c>
      <c r="C330" t="s">
        <v>50</v>
      </c>
      <c r="D330" t="s">
        <v>51</v>
      </c>
      <c r="E330" t="s">
        <v>18</v>
      </c>
      <c r="F330" t="s">
        <v>27</v>
      </c>
      <c r="G330" t="s">
        <v>33</v>
      </c>
      <c r="H330" t="s">
        <v>128</v>
      </c>
      <c r="I330" t="s">
        <v>30</v>
      </c>
      <c r="J330">
        <v>2</v>
      </c>
      <c r="K330">
        <v>32000</v>
      </c>
      <c r="L330">
        <v>0</v>
      </c>
      <c r="M330">
        <v>64000</v>
      </c>
      <c r="N330">
        <v>19000</v>
      </c>
      <c r="O330" t="s">
        <v>76</v>
      </c>
      <c r="P330" t="s">
        <v>54</v>
      </c>
    </row>
    <row r="331" spans="1:16" x14ac:dyDescent="0.35">
      <c r="A331">
        <v>100330</v>
      </c>
      <c r="B331" s="1">
        <v>46153</v>
      </c>
      <c r="C331" t="s">
        <v>42</v>
      </c>
      <c r="D331" t="s">
        <v>26</v>
      </c>
      <c r="E331" t="s">
        <v>43</v>
      </c>
      <c r="F331" t="s">
        <v>19</v>
      </c>
      <c r="G331" t="s">
        <v>20</v>
      </c>
      <c r="H331" t="s">
        <v>75</v>
      </c>
      <c r="I331" t="s">
        <v>22</v>
      </c>
      <c r="J331">
        <v>2</v>
      </c>
      <c r="K331">
        <v>58000</v>
      </c>
      <c r="L331">
        <v>0.1</v>
      </c>
      <c r="M331">
        <v>104400</v>
      </c>
      <c r="N331">
        <v>39000</v>
      </c>
      <c r="O331" t="s">
        <v>23</v>
      </c>
      <c r="P331" t="s">
        <v>58</v>
      </c>
    </row>
    <row r="332" spans="1:16" x14ac:dyDescent="0.35">
      <c r="A332">
        <v>100331</v>
      </c>
      <c r="B332" s="1">
        <v>46070</v>
      </c>
      <c r="C332" t="s">
        <v>35</v>
      </c>
      <c r="D332" t="s">
        <v>36</v>
      </c>
      <c r="E332" t="s">
        <v>37</v>
      </c>
      <c r="F332" t="s">
        <v>44</v>
      </c>
      <c r="G332" t="s">
        <v>60</v>
      </c>
      <c r="H332" t="s">
        <v>93</v>
      </c>
      <c r="I332" t="s">
        <v>30</v>
      </c>
      <c r="J332">
        <v>1</v>
      </c>
      <c r="K332">
        <v>9000</v>
      </c>
      <c r="L332">
        <v>0.05</v>
      </c>
      <c r="M332">
        <v>8550</v>
      </c>
      <c r="O332" t="s">
        <v>23</v>
      </c>
      <c r="P332" t="s">
        <v>24</v>
      </c>
    </row>
    <row r="333" spans="1:16" x14ac:dyDescent="0.35">
      <c r="A333">
        <v>100332</v>
      </c>
      <c r="B333" s="1">
        <v>46100</v>
      </c>
      <c r="C333" t="s">
        <v>32</v>
      </c>
      <c r="D333" t="s">
        <v>17</v>
      </c>
      <c r="E333" t="s">
        <v>43</v>
      </c>
      <c r="F333" t="s">
        <v>27</v>
      </c>
      <c r="G333" t="s">
        <v>33</v>
      </c>
      <c r="H333" t="s">
        <v>118</v>
      </c>
      <c r="I333" t="s">
        <v>22</v>
      </c>
      <c r="J333">
        <v>1</v>
      </c>
      <c r="K333">
        <v>32000</v>
      </c>
      <c r="L333">
        <v>0.05</v>
      </c>
      <c r="M333">
        <v>30400</v>
      </c>
      <c r="N333">
        <v>19000</v>
      </c>
      <c r="O333" t="s">
        <v>23</v>
      </c>
      <c r="P333" t="s">
        <v>58</v>
      </c>
    </row>
    <row r="334" spans="1:16" x14ac:dyDescent="0.35">
      <c r="A334">
        <v>100333</v>
      </c>
      <c r="B334" s="1">
        <v>46027</v>
      </c>
      <c r="C334" t="s">
        <v>32</v>
      </c>
      <c r="D334" t="s">
        <v>17</v>
      </c>
      <c r="E334" t="s">
        <v>37</v>
      </c>
      <c r="F334" t="s">
        <v>27</v>
      </c>
      <c r="G334" t="s">
        <v>33</v>
      </c>
      <c r="H334" t="s">
        <v>94</v>
      </c>
      <c r="I334" t="s">
        <v>22</v>
      </c>
      <c r="J334">
        <v>5</v>
      </c>
      <c r="K334">
        <v>32000</v>
      </c>
      <c r="L334">
        <v>0.1</v>
      </c>
      <c r="M334">
        <v>144000</v>
      </c>
      <c r="N334">
        <v>19000</v>
      </c>
      <c r="O334" t="s">
        <v>23</v>
      </c>
      <c r="P334" t="s">
        <v>40</v>
      </c>
    </row>
    <row r="335" spans="1:16" x14ac:dyDescent="0.35">
      <c r="A335">
        <v>100334</v>
      </c>
      <c r="B335" s="1">
        <v>46219</v>
      </c>
      <c r="C335" t="s">
        <v>25</v>
      </c>
      <c r="D335" t="s">
        <v>26</v>
      </c>
      <c r="E335" t="s">
        <v>43</v>
      </c>
      <c r="F335" t="s">
        <v>44</v>
      </c>
      <c r="G335" t="s">
        <v>60</v>
      </c>
      <c r="H335" t="s">
        <v>224</v>
      </c>
      <c r="I335" t="s">
        <v>30</v>
      </c>
      <c r="J335">
        <v>1</v>
      </c>
      <c r="K335">
        <v>9000</v>
      </c>
      <c r="L335">
        <v>0</v>
      </c>
      <c r="M335">
        <v>9000</v>
      </c>
      <c r="N335">
        <v>3500</v>
      </c>
      <c r="O335" t="s">
        <v>23</v>
      </c>
      <c r="P335" t="s">
        <v>40</v>
      </c>
    </row>
    <row r="336" spans="1:16" x14ac:dyDescent="0.35">
      <c r="A336">
        <v>100335</v>
      </c>
      <c r="B336" s="1">
        <v>46026</v>
      </c>
      <c r="C336" t="s">
        <v>50</v>
      </c>
      <c r="D336" t="s">
        <v>51</v>
      </c>
      <c r="E336" t="s">
        <v>37</v>
      </c>
      <c r="F336" t="s">
        <v>27</v>
      </c>
      <c r="G336" t="s">
        <v>33</v>
      </c>
      <c r="H336" t="s">
        <v>168</v>
      </c>
      <c r="I336" t="s">
        <v>22</v>
      </c>
      <c r="J336">
        <v>1</v>
      </c>
      <c r="K336">
        <v>32000</v>
      </c>
      <c r="L336">
        <v>0.1</v>
      </c>
      <c r="M336">
        <v>28800</v>
      </c>
      <c r="N336">
        <v>19000</v>
      </c>
      <c r="O336" t="s">
        <v>23</v>
      </c>
      <c r="P336" t="s">
        <v>84</v>
      </c>
    </row>
    <row r="337" spans="1:16" x14ac:dyDescent="0.35">
      <c r="A337">
        <v>100336</v>
      </c>
      <c r="B337" s="1">
        <v>46085</v>
      </c>
      <c r="C337" t="s">
        <v>50</v>
      </c>
      <c r="D337" t="s">
        <v>51</v>
      </c>
      <c r="E337" t="s">
        <v>18</v>
      </c>
      <c r="F337" t="s">
        <v>27</v>
      </c>
      <c r="G337" t="s">
        <v>28</v>
      </c>
      <c r="H337" t="s">
        <v>225</v>
      </c>
      <c r="I337" t="s">
        <v>30</v>
      </c>
      <c r="J337">
        <v>2</v>
      </c>
      <c r="K337">
        <v>165000</v>
      </c>
      <c r="L337">
        <v>0.15</v>
      </c>
      <c r="M337">
        <v>280500</v>
      </c>
      <c r="N337">
        <v>112000</v>
      </c>
      <c r="O337" t="s">
        <v>23</v>
      </c>
      <c r="P337" t="s">
        <v>54</v>
      </c>
    </row>
    <row r="338" spans="1:16" x14ac:dyDescent="0.35">
      <c r="A338">
        <v>100337</v>
      </c>
      <c r="B338" s="1">
        <v>46085</v>
      </c>
      <c r="C338" t="s">
        <v>35</v>
      </c>
      <c r="D338" t="s">
        <v>36</v>
      </c>
      <c r="E338" t="s">
        <v>43</v>
      </c>
      <c r="F338" t="s">
        <v>44</v>
      </c>
      <c r="G338" t="s">
        <v>45</v>
      </c>
      <c r="H338" t="s">
        <v>121</v>
      </c>
      <c r="I338" t="s">
        <v>22</v>
      </c>
      <c r="J338">
        <v>3</v>
      </c>
      <c r="K338">
        <v>6500</v>
      </c>
      <c r="L338">
        <v>0.15</v>
      </c>
      <c r="M338">
        <v>16575</v>
      </c>
      <c r="N338">
        <v>2200</v>
      </c>
      <c r="O338" t="s">
        <v>23</v>
      </c>
      <c r="P338" t="s">
        <v>24</v>
      </c>
    </row>
    <row r="339" spans="1:16" x14ac:dyDescent="0.35">
      <c r="A339">
        <v>100338</v>
      </c>
      <c r="B339" s="1">
        <v>46112</v>
      </c>
      <c r="C339" t="s">
        <v>25</v>
      </c>
      <c r="D339" t="s">
        <v>26</v>
      </c>
      <c r="E339" t="s">
        <v>43</v>
      </c>
      <c r="F339" t="s">
        <v>19</v>
      </c>
      <c r="G339" t="s">
        <v>62</v>
      </c>
      <c r="H339" t="s">
        <v>108</v>
      </c>
      <c r="I339" t="s">
        <v>22</v>
      </c>
      <c r="J339">
        <v>2</v>
      </c>
      <c r="K339">
        <v>24000</v>
      </c>
      <c r="L339">
        <v>0.15</v>
      </c>
      <c r="M339">
        <v>40800</v>
      </c>
      <c r="N339">
        <v>15000</v>
      </c>
      <c r="O339" t="s">
        <v>23</v>
      </c>
      <c r="P339" t="s">
        <v>84</v>
      </c>
    </row>
    <row r="340" spans="1:16" x14ac:dyDescent="0.35">
      <c r="A340">
        <v>100339</v>
      </c>
      <c r="B340" s="1">
        <v>46057</v>
      </c>
      <c r="C340" t="s">
        <v>25</v>
      </c>
      <c r="D340" t="s">
        <v>26</v>
      </c>
      <c r="E340" t="s">
        <v>43</v>
      </c>
      <c r="F340" t="s">
        <v>27</v>
      </c>
      <c r="G340" t="s">
        <v>38</v>
      </c>
      <c r="H340" t="s">
        <v>199</v>
      </c>
      <c r="I340" t="s">
        <v>22</v>
      </c>
      <c r="J340">
        <v>2</v>
      </c>
      <c r="K340">
        <v>26000</v>
      </c>
      <c r="L340">
        <v>0.05</v>
      </c>
      <c r="M340">
        <v>49400</v>
      </c>
      <c r="N340">
        <v>15000</v>
      </c>
      <c r="O340" t="s">
        <v>23</v>
      </c>
      <c r="P340" t="s">
        <v>40</v>
      </c>
    </row>
    <row r="341" spans="1:16" x14ac:dyDescent="0.35">
      <c r="A341">
        <v>100340</v>
      </c>
      <c r="B341" s="1">
        <v>46106</v>
      </c>
      <c r="C341" t="s">
        <v>32</v>
      </c>
      <c r="D341" t="s">
        <v>17</v>
      </c>
      <c r="E341" t="s">
        <v>37</v>
      </c>
      <c r="F341" t="s">
        <v>27</v>
      </c>
      <c r="G341" t="s">
        <v>28</v>
      </c>
      <c r="H341" t="s">
        <v>61</v>
      </c>
      <c r="I341" t="s">
        <v>30</v>
      </c>
      <c r="J341">
        <v>1</v>
      </c>
      <c r="K341">
        <v>165000</v>
      </c>
      <c r="L341">
        <v>0.15</v>
      </c>
      <c r="M341">
        <v>140250</v>
      </c>
      <c r="N341">
        <v>112000</v>
      </c>
      <c r="O341" t="s">
        <v>23</v>
      </c>
      <c r="P341" t="s">
        <v>64</v>
      </c>
    </row>
    <row r="342" spans="1:16" x14ac:dyDescent="0.35">
      <c r="A342">
        <v>100341</v>
      </c>
      <c r="B342" s="1">
        <v>46181</v>
      </c>
      <c r="C342" t="s">
        <v>25</v>
      </c>
      <c r="D342" t="s">
        <v>185</v>
      </c>
      <c r="E342" t="s">
        <v>43</v>
      </c>
      <c r="F342" t="s">
        <v>27</v>
      </c>
      <c r="G342" t="s">
        <v>28</v>
      </c>
      <c r="H342" t="s">
        <v>226</v>
      </c>
      <c r="I342" t="s">
        <v>30</v>
      </c>
      <c r="J342">
        <v>3</v>
      </c>
      <c r="K342">
        <v>165000</v>
      </c>
      <c r="L342">
        <v>0</v>
      </c>
      <c r="M342">
        <v>495000</v>
      </c>
      <c r="N342">
        <v>112000</v>
      </c>
      <c r="O342" t="s">
        <v>23</v>
      </c>
      <c r="P342" t="s">
        <v>24</v>
      </c>
    </row>
    <row r="343" spans="1:16" x14ac:dyDescent="0.35">
      <c r="A343">
        <v>100342</v>
      </c>
      <c r="B343" s="1">
        <v>46053</v>
      </c>
      <c r="C343" t="s">
        <v>32</v>
      </c>
      <c r="D343" t="s">
        <v>17</v>
      </c>
      <c r="E343" t="s">
        <v>43</v>
      </c>
      <c r="F343" t="s">
        <v>27</v>
      </c>
      <c r="G343" t="s">
        <v>33</v>
      </c>
      <c r="H343" t="s">
        <v>205</v>
      </c>
      <c r="I343" t="s">
        <v>30</v>
      </c>
      <c r="J343">
        <v>4</v>
      </c>
      <c r="K343">
        <v>32000</v>
      </c>
      <c r="L343">
        <v>0</v>
      </c>
      <c r="M343">
        <v>128000</v>
      </c>
      <c r="O343" t="s">
        <v>23</v>
      </c>
      <c r="P343" t="s">
        <v>64</v>
      </c>
    </row>
    <row r="344" spans="1:16" x14ac:dyDescent="0.35">
      <c r="A344">
        <v>100343</v>
      </c>
      <c r="B344" s="1">
        <v>46217</v>
      </c>
      <c r="C344" t="s">
        <v>35</v>
      </c>
      <c r="D344" t="s">
        <v>36</v>
      </c>
      <c r="E344" t="s">
        <v>43</v>
      </c>
      <c r="F344" t="s">
        <v>27</v>
      </c>
      <c r="G344" t="s">
        <v>28</v>
      </c>
      <c r="H344" t="s">
        <v>182</v>
      </c>
      <c r="I344" t="s">
        <v>30</v>
      </c>
      <c r="J344">
        <v>4</v>
      </c>
      <c r="K344">
        <v>165000</v>
      </c>
      <c r="L344">
        <v>0</v>
      </c>
      <c r="M344">
        <v>660000</v>
      </c>
      <c r="N344">
        <v>112000</v>
      </c>
      <c r="O344" t="s">
        <v>76</v>
      </c>
      <c r="P344" t="s">
        <v>54</v>
      </c>
    </row>
    <row r="345" spans="1:16" x14ac:dyDescent="0.35">
      <c r="A345">
        <v>100344</v>
      </c>
      <c r="B345" s="1">
        <v>46253</v>
      </c>
      <c r="C345" t="s">
        <v>50</v>
      </c>
      <c r="D345" t="s">
        <v>51</v>
      </c>
      <c r="E345" t="s">
        <v>37</v>
      </c>
      <c r="F345" t="s">
        <v>19</v>
      </c>
      <c r="G345" t="s">
        <v>62</v>
      </c>
      <c r="H345" t="s">
        <v>126</v>
      </c>
      <c r="I345" t="s">
        <v>22</v>
      </c>
      <c r="J345">
        <v>2</v>
      </c>
      <c r="K345">
        <v>24000</v>
      </c>
      <c r="L345">
        <v>0.1</v>
      </c>
      <c r="M345">
        <v>43200</v>
      </c>
      <c r="N345">
        <v>15000</v>
      </c>
      <c r="O345" t="s">
        <v>23</v>
      </c>
      <c r="P345" t="s">
        <v>47</v>
      </c>
    </row>
    <row r="346" spans="1:16" x14ac:dyDescent="0.35">
      <c r="A346">
        <v>100345</v>
      </c>
      <c r="B346" s="1">
        <v>46038</v>
      </c>
      <c r="C346" t="s">
        <v>25</v>
      </c>
      <c r="D346" t="s">
        <v>26</v>
      </c>
      <c r="E346" t="s">
        <v>43</v>
      </c>
      <c r="F346" t="s">
        <v>19</v>
      </c>
      <c r="G346" t="s">
        <v>20</v>
      </c>
      <c r="H346" t="s">
        <v>69</v>
      </c>
      <c r="I346" t="s">
        <v>30</v>
      </c>
      <c r="J346">
        <v>2</v>
      </c>
      <c r="K346">
        <v>58000</v>
      </c>
      <c r="L346">
        <v>0.15</v>
      </c>
      <c r="M346">
        <v>98600</v>
      </c>
      <c r="N346">
        <v>39000</v>
      </c>
      <c r="O346" t="s">
        <v>23</v>
      </c>
      <c r="P346" t="s">
        <v>24</v>
      </c>
    </row>
    <row r="347" spans="1:16" x14ac:dyDescent="0.35">
      <c r="A347">
        <v>100346</v>
      </c>
      <c r="B347" s="1">
        <v>46065</v>
      </c>
      <c r="C347" t="s">
        <v>32</v>
      </c>
      <c r="D347" t="s">
        <v>17</v>
      </c>
      <c r="E347" t="s">
        <v>43</v>
      </c>
      <c r="F347" t="s">
        <v>44</v>
      </c>
      <c r="G347" t="s">
        <v>60</v>
      </c>
      <c r="H347" t="s">
        <v>203</v>
      </c>
      <c r="I347" t="s">
        <v>30</v>
      </c>
      <c r="J347">
        <v>2</v>
      </c>
      <c r="K347">
        <v>9000</v>
      </c>
      <c r="L347">
        <v>0.15</v>
      </c>
      <c r="M347">
        <v>15300</v>
      </c>
      <c r="N347">
        <v>3500</v>
      </c>
      <c r="O347" t="s">
        <v>23</v>
      </c>
      <c r="P347" t="s">
        <v>64</v>
      </c>
    </row>
    <row r="348" spans="1:16" x14ac:dyDescent="0.35">
      <c r="A348">
        <v>100347</v>
      </c>
      <c r="B348" s="1">
        <v>46074</v>
      </c>
      <c r="C348" t="s">
        <v>35</v>
      </c>
      <c r="D348" t="s">
        <v>36</v>
      </c>
      <c r="E348" t="s">
        <v>43</v>
      </c>
      <c r="F348" t="s">
        <v>27</v>
      </c>
      <c r="G348" t="s">
        <v>33</v>
      </c>
      <c r="H348" t="s">
        <v>227</v>
      </c>
      <c r="I348" t="s">
        <v>30</v>
      </c>
      <c r="J348">
        <v>3</v>
      </c>
      <c r="K348">
        <v>32000</v>
      </c>
      <c r="L348">
        <v>0</v>
      </c>
      <c r="M348">
        <v>96000</v>
      </c>
      <c r="N348">
        <v>19000</v>
      </c>
      <c r="O348" t="s">
        <v>23</v>
      </c>
      <c r="P348" t="s">
        <v>24</v>
      </c>
    </row>
    <row r="349" spans="1:16" x14ac:dyDescent="0.35">
      <c r="A349">
        <v>100348</v>
      </c>
      <c r="B349" s="1">
        <v>46225</v>
      </c>
      <c r="C349" t="s">
        <v>35</v>
      </c>
      <c r="D349" t="s">
        <v>36</v>
      </c>
      <c r="E349" t="s">
        <v>43</v>
      </c>
      <c r="F349" t="s">
        <v>19</v>
      </c>
      <c r="G349" t="s">
        <v>62</v>
      </c>
      <c r="H349" t="s">
        <v>171</v>
      </c>
      <c r="I349" t="s">
        <v>30</v>
      </c>
      <c r="J349">
        <v>5</v>
      </c>
      <c r="K349">
        <v>24000</v>
      </c>
      <c r="L349">
        <v>0.05</v>
      </c>
      <c r="M349">
        <v>114000</v>
      </c>
      <c r="N349">
        <v>15000</v>
      </c>
      <c r="O349" t="s">
        <v>23</v>
      </c>
      <c r="P349" t="s">
        <v>24</v>
      </c>
    </row>
    <row r="350" spans="1:16" x14ac:dyDescent="0.35">
      <c r="A350">
        <v>100349</v>
      </c>
      <c r="B350" s="1">
        <v>46141</v>
      </c>
      <c r="C350" t="s">
        <v>50</v>
      </c>
      <c r="D350" t="s">
        <v>51</v>
      </c>
      <c r="E350" t="s">
        <v>43</v>
      </c>
      <c r="F350" t="s">
        <v>27</v>
      </c>
      <c r="G350" t="s">
        <v>33</v>
      </c>
      <c r="H350" t="s">
        <v>130</v>
      </c>
      <c r="I350" t="s">
        <v>30</v>
      </c>
      <c r="J350">
        <v>2</v>
      </c>
      <c r="K350">
        <v>32000</v>
      </c>
      <c r="L350">
        <v>0.15</v>
      </c>
      <c r="M350">
        <v>54400</v>
      </c>
      <c r="N350">
        <v>19000</v>
      </c>
      <c r="O350" t="s">
        <v>23</v>
      </c>
      <c r="P350" t="s">
        <v>84</v>
      </c>
    </row>
    <row r="351" spans="1:16" x14ac:dyDescent="0.35">
      <c r="A351">
        <v>100350</v>
      </c>
      <c r="B351" s="1">
        <v>46170</v>
      </c>
      <c r="C351" t="s">
        <v>25</v>
      </c>
      <c r="D351" t="s">
        <v>26</v>
      </c>
      <c r="E351" t="s">
        <v>43</v>
      </c>
      <c r="F351" t="s">
        <v>19</v>
      </c>
      <c r="G351" t="s">
        <v>52</v>
      </c>
      <c r="H351" t="s">
        <v>141</v>
      </c>
      <c r="I351" t="s">
        <v>22</v>
      </c>
      <c r="J351">
        <v>3</v>
      </c>
      <c r="K351">
        <v>42000</v>
      </c>
      <c r="L351">
        <v>0.15</v>
      </c>
      <c r="M351">
        <v>96390</v>
      </c>
      <c r="N351">
        <v>28000</v>
      </c>
      <c r="O351" t="s">
        <v>23</v>
      </c>
      <c r="P351" t="s">
        <v>54</v>
      </c>
    </row>
    <row r="352" spans="1:16" x14ac:dyDescent="0.35">
      <c r="A352">
        <v>100351</v>
      </c>
      <c r="B352" s="1">
        <v>46040</v>
      </c>
      <c r="C352" t="s">
        <v>35</v>
      </c>
      <c r="D352" t="s">
        <v>36</v>
      </c>
      <c r="E352" t="s">
        <v>43</v>
      </c>
      <c r="F352" t="s">
        <v>27</v>
      </c>
      <c r="G352" t="s">
        <v>33</v>
      </c>
      <c r="H352" t="s">
        <v>34</v>
      </c>
      <c r="I352" t="s">
        <v>22</v>
      </c>
      <c r="J352">
        <v>2</v>
      </c>
      <c r="K352">
        <v>32000</v>
      </c>
      <c r="L352">
        <v>0.1</v>
      </c>
      <c r="M352">
        <v>57600</v>
      </c>
      <c r="N352">
        <v>19000</v>
      </c>
      <c r="O352" t="s">
        <v>23</v>
      </c>
      <c r="P352" t="s">
        <v>47</v>
      </c>
    </row>
    <row r="353" spans="1:16" x14ac:dyDescent="0.35">
      <c r="A353">
        <v>100352</v>
      </c>
      <c r="B353" s="1">
        <v>46134</v>
      </c>
      <c r="C353" t="s">
        <v>25</v>
      </c>
      <c r="D353" t="s">
        <v>26</v>
      </c>
      <c r="E353" t="s">
        <v>37</v>
      </c>
      <c r="F353" t="s">
        <v>27</v>
      </c>
      <c r="G353" t="s">
        <v>33</v>
      </c>
      <c r="H353" t="s">
        <v>82</v>
      </c>
      <c r="I353" t="s">
        <v>22</v>
      </c>
      <c r="J353">
        <v>2</v>
      </c>
      <c r="K353">
        <v>32000</v>
      </c>
      <c r="L353">
        <v>0.15</v>
      </c>
      <c r="M353">
        <v>54400</v>
      </c>
      <c r="N353">
        <v>19000</v>
      </c>
      <c r="O353" t="s">
        <v>23</v>
      </c>
      <c r="P353" t="s">
        <v>47</v>
      </c>
    </row>
    <row r="354" spans="1:16" x14ac:dyDescent="0.35">
      <c r="A354">
        <v>100353</v>
      </c>
      <c r="B354" s="1">
        <v>46203</v>
      </c>
      <c r="C354" t="s">
        <v>32</v>
      </c>
      <c r="D354" t="s">
        <v>17</v>
      </c>
      <c r="E354" t="s">
        <v>37</v>
      </c>
      <c r="F354" t="s">
        <v>44</v>
      </c>
      <c r="G354" t="s">
        <v>65</v>
      </c>
      <c r="H354" t="s">
        <v>145</v>
      </c>
      <c r="I354" t="s">
        <v>22</v>
      </c>
      <c r="J354">
        <v>1</v>
      </c>
      <c r="K354">
        <v>28000</v>
      </c>
      <c r="L354">
        <v>0.15</v>
      </c>
      <c r="M354">
        <v>23800</v>
      </c>
      <c r="O354" t="s">
        <v>23</v>
      </c>
      <c r="P354" t="s">
        <v>47</v>
      </c>
    </row>
    <row r="355" spans="1:16" x14ac:dyDescent="0.35">
      <c r="A355">
        <v>100354</v>
      </c>
      <c r="B355" s="1">
        <v>46037</v>
      </c>
      <c r="C355" t="s">
        <v>50</v>
      </c>
      <c r="D355" t="s">
        <v>51</v>
      </c>
      <c r="E355" t="s">
        <v>37</v>
      </c>
      <c r="F355" t="s">
        <v>44</v>
      </c>
      <c r="G355" t="s">
        <v>60</v>
      </c>
      <c r="H355" t="s">
        <v>148</v>
      </c>
      <c r="I355" t="s">
        <v>30</v>
      </c>
      <c r="J355">
        <v>1</v>
      </c>
      <c r="K355">
        <v>9000</v>
      </c>
      <c r="L355">
        <v>0.15</v>
      </c>
      <c r="M355">
        <v>7650</v>
      </c>
      <c r="N355">
        <v>3500</v>
      </c>
      <c r="O355" t="s">
        <v>23</v>
      </c>
      <c r="P355" t="s">
        <v>54</v>
      </c>
    </row>
    <row r="356" spans="1:16" x14ac:dyDescent="0.35">
      <c r="A356">
        <v>100355</v>
      </c>
      <c r="B356" s="1">
        <v>46099</v>
      </c>
      <c r="C356" t="s">
        <v>42</v>
      </c>
      <c r="D356" t="s">
        <v>26</v>
      </c>
      <c r="E356" t="s">
        <v>37</v>
      </c>
      <c r="F356" t="s">
        <v>19</v>
      </c>
      <c r="G356" t="s">
        <v>52</v>
      </c>
      <c r="H356" t="s">
        <v>228</v>
      </c>
      <c r="I356" t="s">
        <v>30</v>
      </c>
      <c r="J356">
        <v>18</v>
      </c>
      <c r="K356">
        <v>42000</v>
      </c>
      <c r="L356">
        <v>0.1</v>
      </c>
      <c r="M356">
        <v>680400</v>
      </c>
      <c r="N356">
        <v>28000</v>
      </c>
      <c r="O356" t="s">
        <v>23</v>
      </c>
      <c r="P356" t="s">
        <v>31</v>
      </c>
    </row>
    <row r="357" spans="1:16" x14ac:dyDescent="0.35">
      <c r="A357">
        <v>100356</v>
      </c>
      <c r="B357" s="1">
        <v>46116</v>
      </c>
      <c r="C357" t="s">
        <v>50</v>
      </c>
      <c r="D357" t="s">
        <v>51</v>
      </c>
      <c r="E357" t="s">
        <v>37</v>
      </c>
      <c r="F357" t="s">
        <v>19</v>
      </c>
      <c r="G357" t="s">
        <v>20</v>
      </c>
      <c r="H357" t="s">
        <v>192</v>
      </c>
      <c r="I357" t="s">
        <v>30</v>
      </c>
      <c r="J357">
        <v>4</v>
      </c>
      <c r="K357">
        <v>58000</v>
      </c>
      <c r="L357">
        <v>0</v>
      </c>
      <c r="M357">
        <v>232000</v>
      </c>
      <c r="N357">
        <v>39000</v>
      </c>
      <c r="O357" t="s">
        <v>23</v>
      </c>
      <c r="P357" t="s">
        <v>47</v>
      </c>
    </row>
    <row r="358" spans="1:16" x14ac:dyDescent="0.35">
      <c r="A358">
        <v>100357</v>
      </c>
      <c r="B358" s="1">
        <v>46226</v>
      </c>
      <c r="C358" t="s">
        <v>16</v>
      </c>
      <c r="D358" t="s">
        <v>17</v>
      </c>
      <c r="E358" t="s">
        <v>43</v>
      </c>
      <c r="F358" t="s">
        <v>27</v>
      </c>
      <c r="G358" t="s">
        <v>38</v>
      </c>
      <c r="H358" t="s">
        <v>203</v>
      </c>
      <c r="I358" t="s">
        <v>30</v>
      </c>
      <c r="J358">
        <v>1</v>
      </c>
      <c r="K358">
        <v>26000</v>
      </c>
      <c r="L358">
        <v>0.2</v>
      </c>
      <c r="M358">
        <v>20800</v>
      </c>
      <c r="O358" t="s">
        <v>23</v>
      </c>
      <c r="P358" t="s">
        <v>58</v>
      </c>
    </row>
    <row r="359" spans="1:16" x14ac:dyDescent="0.35">
      <c r="A359">
        <v>100358</v>
      </c>
      <c r="B359" s="1">
        <v>46151</v>
      </c>
      <c r="C359" t="s">
        <v>16</v>
      </c>
      <c r="D359" t="s">
        <v>17</v>
      </c>
      <c r="E359" t="s">
        <v>37</v>
      </c>
      <c r="F359" t="s">
        <v>27</v>
      </c>
      <c r="G359" t="s">
        <v>38</v>
      </c>
      <c r="H359" t="s">
        <v>116</v>
      </c>
      <c r="I359" t="s">
        <v>30</v>
      </c>
      <c r="J359">
        <v>2</v>
      </c>
      <c r="K359">
        <v>26000</v>
      </c>
      <c r="L359">
        <v>0.1</v>
      </c>
      <c r="M359">
        <v>46800</v>
      </c>
      <c r="N359">
        <v>15000</v>
      </c>
      <c r="O359" t="s">
        <v>76</v>
      </c>
      <c r="P359" t="s">
        <v>47</v>
      </c>
    </row>
    <row r="360" spans="1:16" x14ac:dyDescent="0.35">
      <c r="A360">
        <v>100359</v>
      </c>
      <c r="B360" s="1">
        <v>46246</v>
      </c>
      <c r="C360" t="s">
        <v>16</v>
      </c>
      <c r="D360" t="s">
        <v>17</v>
      </c>
      <c r="E360" t="s">
        <v>37</v>
      </c>
      <c r="F360" t="s">
        <v>44</v>
      </c>
      <c r="G360" t="s">
        <v>65</v>
      </c>
      <c r="H360" t="s">
        <v>229</v>
      </c>
      <c r="I360" t="s">
        <v>22</v>
      </c>
      <c r="J360">
        <v>1</v>
      </c>
      <c r="K360">
        <v>28000</v>
      </c>
      <c r="L360">
        <v>0</v>
      </c>
      <c r="M360">
        <v>28000</v>
      </c>
      <c r="O360" t="s">
        <v>23</v>
      </c>
      <c r="P360" t="s">
        <v>54</v>
      </c>
    </row>
    <row r="361" spans="1:16" x14ac:dyDescent="0.35">
      <c r="A361">
        <v>100360</v>
      </c>
      <c r="B361" s="1">
        <v>46204</v>
      </c>
      <c r="C361" t="s">
        <v>35</v>
      </c>
      <c r="D361" t="s">
        <v>36</v>
      </c>
      <c r="E361" t="s">
        <v>37</v>
      </c>
      <c r="F361" t="s">
        <v>19</v>
      </c>
      <c r="G361" t="s">
        <v>52</v>
      </c>
      <c r="H361" t="s">
        <v>170</v>
      </c>
      <c r="I361" t="s">
        <v>30</v>
      </c>
      <c r="J361">
        <v>1</v>
      </c>
      <c r="K361">
        <v>42000</v>
      </c>
      <c r="L361">
        <v>0.15</v>
      </c>
      <c r="M361">
        <v>35700</v>
      </c>
      <c r="N361">
        <v>28000</v>
      </c>
      <c r="O361" t="s">
        <v>23</v>
      </c>
      <c r="P361" t="s">
        <v>31</v>
      </c>
    </row>
    <row r="362" spans="1:16" x14ac:dyDescent="0.35">
      <c r="A362">
        <v>100361</v>
      </c>
      <c r="B362" s="1">
        <v>46028</v>
      </c>
      <c r="C362" t="s">
        <v>50</v>
      </c>
      <c r="D362" t="s">
        <v>51</v>
      </c>
      <c r="E362" t="s">
        <v>37</v>
      </c>
      <c r="F362" t="s">
        <v>44</v>
      </c>
      <c r="G362" t="s">
        <v>45</v>
      </c>
      <c r="H362" t="s">
        <v>230</v>
      </c>
      <c r="I362" t="s">
        <v>22</v>
      </c>
      <c r="J362">
        <v>2</v>
      </c>
      <c r="K362">
        <v>6500</v>
      </c>
      <c r="L362">
        <v>0.05</v>
      </c>
      <c r="M362">
        <v>12350</v>
      </c>
      <c r="N362">
        <v>2200</v>
      </c>
      <c r="O362" t="s">
        <v>23</v>
      </c>
      <c r="P362" t="s">
        <v>84</v>
      </c>
    </row>
    <row r="363" spans="1:16" x14ac:dyDescent="0.35">
      <c r="A363">
        <v>100362</v>
      </c>
      <c r="B363" s="1">
        <v>46105</v>
      </c>
      <c r="C363" t="s">
        <v>42</v>
      </c>
      <c r="D363" t="s">
        <v>26</v>
      </c>
      <c r="E363" t="s">
        <v>37</v>
      </c>
      <c r="F363" t="s">
        <v>44</v>
      </c>
      <c r="G363" t="s">
        <v>60</v>
      </c>
      <c r="H363" t="s">
        <v>231</v>
      </c>
      <c r="I363" t="s">
        <v>22</v>
      </c>
      <c r="J363">
        <v>4</v>
      </c>
      <c r="K363">
        <v>9000</v>
      </c>
      <c r="L363">
        <v>0.15</v>
      </c>
      <c r="M363">
        <v>30600</v>
      </c>
      <c r="N363">
        <v>3500</v>
      </c>
      <c r="O363" t="s">
        <v>23</v>
      </c>
      <c r="P363" t="s">
        <v>64</v>
      </c>
    </row>
    <row r="364" spans="1:16" x14ac:dyDescent="0.35">
      <c r="A364">
        <v>100363</v>
      </c>
      <c r="B364" s="1">
        <v>46193</v>
      </c>
      <c r="C364" t="s">
        <v>50</v>
      </c>
      <c r="D364" t="s">
        <v>51</v>
      </c>
      <c r="E364" t="s">
        <v>43</v>
      </c>
      <c r="F364" t="s">
        <v>19</v>
      </c>
      <c r="G364" t="s">
        <v>62</v>
      </c>
      <c r="H364" t="s">
        <v>107</v>
      </c>
      <c r="I364" t="s">
        <v>30</v>
      </c>
      <c r="J364">
        <v>2</v>
      </c>
      <c r="K364">
        <v>24000</v>
      </c>
      <c r="L364">
        <v>0.1</v>
      </c>
      <c r="M364">
        <v>43200</v>
      </c>
      <c r="N364">
        <v>15000</v>
      </c>
      <c r="O364" t="s">
        <v>23</v>
      </c>
      <c r="P364" t="s">
        <v>64</v>
      </c>
    </row>
    <row r="365" spans="1:16" x14ac:dyDescent="0.35">
      <c r="A365">
        <v>100364</v>
      </c>
      <c r="B365" s="1">
        <v>46226</v>
      </c>
      <c r="C365" t="s">
        <v>32</v>
      </c>
      <c r="D365" t="s">
        <v>17</v>
      </c>
      <c r="E365" t="s">
        <v>43</v>
      </c>
      <c r="F365" t="s">
        <v>19</v>
      </c>
      <c r="G365" t="s">
        <v>62</v>
      </c>
      <c r="H365" t="s">
        <v>232</v>
      </c>
      <c r="I365" t="s">
        <v>30</v>
      </c>
      <c r="J365">
        <v>2</v>
      </c>
      <c r="K365">
        <v>24000</v>
      </c>
      <c r="L365">
        <v>0.25</v>
      </c>
      <c r="M365">
        <v>36000</v>
      </c>
      <c r="N365">
        <v>15000</v>
      </c>
      <c r="O365" t="s">
        <v>76</v>
      </c>
      <c r="P365" t="s">
        <v>54</v>
      </c>
    </row>
    <row r="366" spans="1:16" x14ac:dyDescent="0.35">
      <c r="A366">
        <v>100365</v>
      </c>
      <c r="B366" s="1">
        <v>46195</v>
      </c>
      <c r="C366" t="s">
        <v>50</v>
      </c>
      <c r="D366" t="s">
        <v>51</v>
      </c>
      <c r="E366" t="s">
        <v>18</v>
      </c>
      <c r="F366" t="s">
        <v>27</v>
      </c>
      <c r="G366" t="s">
        <v>28</v>
      </c>
      <c r="H366" t="s">
        <v>95</v>
      </c>
      <c r="I366" t="s">
        <v>30</v>
      </c>
      <c r="J366">
        <v>4</v>
      </c>
      <c r="K366">
        <v>165000</v>
      </c>
      <c r="L366">
        <v>0.05</v>
      </c>
      <c r="M366">
        <v>627000</v>
      </c>
      <c r="N366">
        <v>112000</v>
      </c>
      <c r="O366" t="s">
        <v>23</v>
      </c>
      <c r="P366" t="s">
        <v>24</v>
      </c>
    </row>
    <row r="367" spans="1:16" x14ac:dyDescent="0.35">
      <c r="A367">
        <v>100366</v>
      </c>
      <c r="B367" s="1">
        <v>46222</v>
      </c>
      <c r="C367" t="s">
        <v>32</v>
      </c>
      <c r="D367" t="s">
        <v>17</v>
      </c>
      <c r="E367" t="s">
        <v>18</v>
      </c>
      <c r="F367" t="s">
        <v>19</v>
      </c>
      <c r="G367" t="s">
        <v>62</v>
      </c>
      <c r="H367" t="s">
        <v>204</v>
      </c>
      <c r="I367" t="s">
        <v>30</v>
      </c>
      <c r="J367">
        <v>1</v>
      </c>
      <c r="K367">
        <v>24000</v>
      </c>
      <c r="L367">
        <v>0.25</v>
      </c>
      <c r="M367">
        <v>18000</v>
      </c>
      <c r="N367">
        <v>15000</v>
      </c>
      <c r="O367" t="s">
        <v>76</v>
      </c>
      <c r="P367" t="s">
        <v>47</v>
      </c>
    </row>
    <row r="368" spans="1:16" x14ac:dyDescent="0.35">
      <c r="A368">
        <v>100367</v>
      </c>
      <c r="B368" s="1">
        <v>46225</v>
      </c>
      <c r="C368" t="s">
        <v>35</v>
      </c>
      <c r="D368" t="s">
        <v>36</v>
      </c>
      <c r="E368" t="s">
        <v>43</v>
      </c>
      <c r="F368" t="s">
        <v>44</v>
      </c>
      <c r="G368" t="s">
        <v>60</v>
      </c>
      <c r="H368" t="s">
        <v>106</v>
      </c>
      <c r="I368" t="s">
        <v>30</v>
      </c>
      <c r="J368">
        <v>2</v>
      </c>
      <c r="K368">
        <v>9000</v>
      </c>
      <c r="L368">
        <v>0</v>
      </c>
      <c r="M368">
        <v>18000</v>
      </c>
      <c r="N368">
        <v>3500</v>
      </c>
      <c r="O368" t="s">
        <v>23</v>
      </c>
      <c r="P368" t="s">
        <v>31</v>
      </c>
    </row>
    <row r="369" spans="1:16" x14ac:dyDescent="0.35">
      <c r="A369">
        <v>100368</v>
      </c>
      <c r="B369" s="1">
        <v>46216</v>
      </c>
      <c r="C369" t="s">
        <v>42</v>
      </c>
      <c r="D369" t="s">
        <v>26</v>
      </c>
      <c r="E369" t="s">
        <v>43</v>
      </c>
      <c r="F369" t="s">
        <v>44</v>
      </c>
      <c r="G369" t="s">
        <v>45</v>
      </c>
      <c r="H369" t="s">
        <v>179</v>
      </c>
      <c r="I369" t="s">
        <v>30</v>
      </c>
      <c r="J369">
        <v>4</v>
      </c>
      <c r="K369">
        <v>6500</v>
      </c>
      <c r="L369">
        <v>0.05</v>
      </c>
      <c r="M369">
        <v>24700</v>
      </c>
      <c r="N369">
        <v>2200</v>
      </c>
      <c r="O369" t="s">
        <v>23</v>
      </c>
      <c r="P369" t="s">
        <v>47</v>
      </c>
    </row>
    <row r="370" spans="1:16" x14ac:dyDescent="0.35">
      <c r="A370">
        <v>100369</v>
      </c>
      <c r="B370" s="1">
        <v>46193</v>
      </c>
      <c r="C370" t="s">
        <v>35</v>
      </c>
      <c r="D370" t="s">
        <v>36</v>
      </c>
      <c r="E370" t="s">
        <v>18</v>
      </c>
      <c r="F370" t="s">
        <v>27</v>
      </c>
      <c r="G370" t="s">
        <v>38</v>
      </c>
      <c r="H370" t="s">
        <v>179</v>
      </c>
      <c r="I370" t="s">
        <v>30</v>
      </c>
      <c r="J370">
        <v>2</v>
      </c>
      <c r="K370">
        <v>26000</v>
      </c>
      <c r="L370">
        <v>0.05</v>
      </c>
      <c r="M370">
        <v>59280</v>
      </c>
      <c r="N370">
        <v>15000</v>
      </c>
      <c r="O370" t="s">
        <v>23</v>
      </c>
      <c r="P370" t="s">
        <v>47</v>
      </c>
    </row>
    <row r="371" spans="1:16" x14ac:dyDescent="0.35">
      <c r="A371">
        <v>100370</v>
      </c>
      <c r="B371" s="1">
        <v>46185</v>
      </c>
      <c r="C371" t="s">
        <v>25</v>
      </c>
      <c r="D371" t="s">
        <v>26</v>
      </c>
      <c r="E371" t="s">
        <v>18</v>
      </c>
      <c r="F371" t="s">
        <v>19</v>
      </c>
      <c r="G371" t="s">
        <v>20</v>
      </c>
      <c r="H371" t="s">
        <v>143</v>
      </c>
      <c r="I371" t="s">
        <v>30</v>
      </c>
      <c r="J371">
        <v>1</v>
      </c>
      <c r="K371">
        <v>58000</v>
      </c>
      <c r="L371">
        <v>0.1</v>
      </c>
      <c r="M371">
        <v>52200</v>
      </c>
      <c r="N371">
        <v>39000</v>
      </c>
      <c r="O371" t="s">
        <v>23</v>
      </c>
      <c r="P371" t="s">
        <v>40</v>
      </c>
    </row>
    <row r="372" spans="1:16" x14ac:dyDescent="0.35">
      <c r="A372">
        <v>100371</v>
      </c>
      <c r="B372" s="1">
        <v>46131</v>
      </c>
      <c r="C372" t="s">
        <v>50</v>
      </c>
      <c r="D372" t="s">
        <v>51</v>
      </c>
      <c r="E372" t="s">
        <v>43</v>
      </c>
      <c r="F372" t="s">
        <v>19</v>
      </c>
      <c r="G372" t="s">
        <v>20</v>
      </c>
      <c r="H372" t="s">
        <v>144</v>
      </c>
      <c r="I372" t="s">
        <v>22</v>
      </c>
      <c r="J372">
        <v>3</v>
      </c>
      <c r="K372">
        <v>58000</v>
      </c>
      <c r="L372">
        <v>0.1</v>
      </c>
      <c r="M372">
        <v>156600</v>
      </c>
      <c r="N372">
        <v>39000</v>
      </c>
      <c r="O372" t="s">
        <v>23</v>
      </c>
      <c r="P372" t="s">
        <v>40</v>
      </c>
    </row>
    <row r="373" spans="1:16" x14ac:dyDescent="0.35">
      <c r="A373">
        <v>100372</v>
      </c>
      <c r="B373" s="1">
        <v>46234</v>
      </c>
      <c r="C373" t="s">
        <v>32</v>
      </c>
      <c r="D373" t="s">
        <v>17</v>
      </c>
      <c r="E373" t="s">
        <v>43</v>
      </c>
      <c r="F373" t="s">
        <v>19</v>
      </c>
      <c r="G373" t="s">
        <v>62</v>
      </c>
      <c r="H373" t="s">
        <v>152</v>
      </c>
      <c r="I373" t="s">
        <v>30</v>
      </c>
      <c r="J373">
        <v>1</v>
      </c>
      <c r="K373">
        <v>24000</v>
      </c>
      <c r="L373">
        <v>0</v>
      </c>
      <c r="M373">
        <v>24000</v>
      </c>
      <c r="N373">
        <v>15000</v>
      </c>
      <c r="O373" t="s">
        <v>23</v>
      </c>
      <c r="P373" t="s">
        <v>40</v>
      </c>
    </row>
    <row r="374" spans="1:16" x14ac:dyDescent="0.35">
      <c r="A374">
        <v>100373</v>
      </c>
      <c r="B374" s="1">
        <v>46075</v>
      </c>
      <c r="C374" t="s">
        <v>32</v>
      </c>
      <c r="D374" t="s">
        <v>17</v>
      </c>
      <c r="E374" t="s">
        <v>43</v>
      </c>
      <c r="F374" t="s">
        <v>19</v>
      </c>
      <c r="G374" t="s">
        <v>20</v>
      </c>
      <c r="H374" t="s">
        <v>199</v>
      </c>
      <c r="I374" t="s">
        <v>22</v>
      </c>
      <c r="J374">
        <v>2</v>
      </c>
      <c r="K374">
        <v>58000</v>
      </c>
      <c r="L374">
        <v>0.2</v>
      </c>
      <c r="M374">
        <v>92800</v>
      </c>
      <c r="N374">
        <v>39000</v>
      </c>
      <c r="O374" t="s">
        <v>76</v>
      </c>
      <c r="P374" t="s">
        <v>24</v>
      </c>
    </row>
    <row r="375" spans="1:16" x14ac:dyDescent="0.35">
      <c r="A375">
        <v>100374</v>
      </c>
      <c r="B375" s="1">
        <v>46112</v>
      </c>
      <c r="C375" t="s">
        <v>35</v>
      </c>
      <c r="D375" t="s">
        <v>36</v>
      </c>
      <c r="E375" t="s">
        <v>37</v>
      </c>
      <c r="F375" t="s">
        <v>19</v>
      </c>
      <c r="G375" t="s">
        <v>62</v>
      </c>
      <c r="H375" t="s">
        <v>92</v>
      </c>
      <c r="I375" t="s">
        <v>22</v>
      </c>
      <c r="J375">
        <v>1</v>
      </c>
      <c r="K375">
        <v>24000</v>
      </c>
      <c r="L375">
        <v>0.05</v>
      </c>
      <c r="M375">
        <v>22800</v>
      </c>
      <c r="N375">
        <v>15000</v>
      </c>
      <c r="O375" t="s">
        <v>23</v>
      </c>
      <c r="P375" t="s">
        <v>54</v>
      </c>
    </row>
    <row r="376" spans="1:16" x14ac:dyDescent="0.35">
      <c r="A376">
        <v>100375</v>
      </c>
      <c r="B376" s="1">
        <v>46026</v>
      </c>
      <c r="C376" t="s">
        <v>32</v>
      </c>
      <c r="D376" t="s">
        <v>17</v>
      </c>
      <c r="E376" t="s">
        <v>43</v>
      </c>
      <c r="F376" t="s">
        <v>19</v>
      </c>
      <c r="G376" t="s">
        <v>52</v>
      </c>
      <c r="H376" t="s">
        <v>189</v>
      </c>
      <c r="I376" t="s">
        <v>22</v>
      </c>
      <c r="J376">
        <v>2</v>
      </c>
      <c r="K376">
        <v>42000</v>
      </c>
      <c r="L376">
        <v>0.25</v>
      </c>
      <c r="M376">
        <v>63000</v>
      </c>
      <c r="N376">
        <v>28000</v>
      </c>
      <c r="O376" t="s">
        <v>23</v>
      </c>
      <c r="P376" t="s">
        <v>24</v>
      </c>
    </row>
    <row r="377" spans="1:16" x14ac:dyDescent="0.35">
      <c r="A377">
        <v>100376</v>
      </c>
      <c r="B377" s="1">
        <v>46050</v>
      </c>
      <c r="C377" t="s">
        <v>35</v>
      </c>
      <c r="D377" t="s">
        <v>36</v>
      </c>
      <c r="E377" t="s">
        <v>43</v>
      </c>
      <c r="F377" t="s">
        <v>27</v>
      </c>
      <c r="G377" t="s">
        <v>28</v>
      </c>
      <c r="H377" t="s">
        <v>233</v>
      </c>
      <c r="I377" t="s">
        <v>22</v>
      </c>
      <c r="J377">
        <v>1</v>
      </c>
      <c r="K377">
        <v>165000</v>
      </c>
      <c r="L377">
        <v>0.1</v>
      </c>
      <c r="M377">
        <v>148500</v>
      </c>
      <c r="N377">
        <v>112000</v>
      </c>
      <c r="O377" t="s">
        <v>23</v>
      </c>
      <c r="P377" t="s">
        <v>31</v>
      </c>
    </row>
    <row r="378" spans="1:16" x14ac:dyDescent="0.35">
      <c r="A378">
        <v>100377</v>
      </c>
      <c r="B378" s="1">
        <v>46139</v>
      </c>
      <c r="C378" t="s">
        <v>42</v>
      </c>
      <c r="D378" t="s">
        <v>26</v>
      </c>
      <c r="E378" t="s">
        <v>43</v>
      </c>
      <c r="F378" t="s">
        <v>44</v>
      </c>
      <c r="G378" t="s">
        <v>45</v>
      </c>
      <c r="H378" t="s">
        <v>87</v>
      </c>
      <c r="I378" t="s">
        <v>22</v>
      </c>
      <c r="J378">
        <v>3</v>
      </c>
      <c r="K378">
        <v>6500</v>
      </c>
      <c r="L378">
        <v>0.05</v>
      </c>
      <c r="M378">
        <v>18525</v>
      </c>
      <c r="N378">
        <v>2200</v>
      </c>
      <c r="O378" t="s">
        <v>76</v>
      </c>
      <c r="P378" t="s">
        <v>31</v>
      </c>
    </row>
    <row r="379" spans="1:16" x14ac:dyDescent="0.35">
      <c r="A379">
        <v>100378</v>
      </c>
      <c r="B379" s="1">
        <v>46121</v>
      </c>
      <c r="C379" t="s">
        <v>50</v>
      </c>
      <c r="D379" t="s">
        <v>51</v>
      </c>
      <c r="E379" t="s">
        <v>37</v>
      </c>
      <c r="F379" t="s">
        <v>27</v>
      </c>
      <c r="G379" t="s">
        <v>28</v>
      </c>
      <c r="H379" t="s">
        <v>48</v>
      </c>
      <c r="I379" t="s">
        <v>22</v>
      </c>
      <c r="J379">
        <v>3</v>
      </c>
      <c r="K379">
        <v>165000</v>
      </c>
      <c r="L379">
        <v>0.05</v>
      </c>
      <c r="M379">
        <v>470250</v>
      </c>
      <c r="N379">
        <v>112000</v>
      </c>
      <c r="O379" t="s">
        <v>23</v>
      </c>
      <c r="P379" t="s">
        <v>84</v>
      </c>
    </row>
    <row r="380" spans="1:16" x14ac:dyDescent="0.35">
      <c r="A380">
        <v>100379</v>
      </c>
      <c r="B380" s="1">
        <v>46095</v>
      </c>
      <c r="C380" t="s">
        <v>32</v>
      </c>
      <c r="D380" t="s">
        <v>17</v>
      </c>
      <c r="E380" t="s">
        <v>43</v>
      </c>
      <c r="F380" t="s">
        <v>19</v>
      </c>
      <c r="G380" t="s">
        <v>20</v>
      </c>
      <c r="H380" t="s">
        <v>66</v>
      </c>
      <c r="I380" t="s">
        <v>30</v>
      </c>
      <c r="J380">
        <v>3</v>
      </c>
      <c r="K380">
        <v>58000</v>
      </c>
      <c r="L380">
        <v>0.25</v>
      </c>
      <c r="M380">
        <v>130500</v>
      </c>
      <c r="N380">
        <v>39000</v>
      </c>
      <c r="O380" t="s">
        <v>23</v>
      </c>
      <c r="P380" t="s">
        <v>64</v>
      </c>
    </row>
    <row r="381" spans="1:16" x14ac:dyDescent="0.35">
      <c r="A381">
        <v>100380</v>
      </c>
      <c r="B381" s="1">
        <v>46051</v>
      </c>
      <c r="C381" t="s">
        <v>35</v>
      </c>
      <c r="D381" t="s">
        <v>36</v>
      </c>
      <c r="E381" t="s">
        <v>18</v>
      </c>
      <c r="F381" t="s">
        <v>27</v>
      </c>
      <c r="G381" t="s">
        <v>33</v>
      </c>
      <c r="H381" t="s">
        <v>172</v>
      </c>
      <c r="I381" t="s">
        <v>30</v>
      </c>
      <c r="J381">
        <v>2</v>
      </c>
      <c r="K381">
        <v>32000</v>
      </c>
      <c r="L381">
        <v>0.15</v>
      </c>
      <c r="M381">
        <v>54400</v>
      </c>
      <c r="N381">
        <v>19000</v>
      </c>
      <c r="O381" t="s">
        <v>23</v>
      </c>
      <c r="P381" t="s">
        <v>31</v>
      </c>
    </row>
    <row r="382" spans="1:16" x14ac:dyDescent="0.35">
      <c r="A382">
        <v>100381</v>
      </c>
      <c r="B382" s="1">
        <v>46115</v>
      </c>
      <c r="C382" t="s">
        <v>55</v>
      </c>
      <c r="D382" t="s">
        <v>56</v>
      </c>
      <c r="E382" t="s">
        <v>43</v>
      </c>
      <c r="F382" t="s">
        <v>44</v>
      </c>
      <c r="G382" t="s">
        <v>60</v>
      </c>
      <c r="H382" t="s">
        <v>107</v>
      </c>
      <c r="I382" t="s">
        <v>30</v>
      </c>
      <c r="J382">
        <v>2</v>
      </c>
      <c r="K382">
        <v>9000</v>
      </c>
      <c r="L382">
        <v>0.05</v>
      </c>
      <c r="M382">
        <v>17100</v>
      </c>
      <c r="N382">
        <v>3500</v>
      </c>
      <c r="O382" t="s">
        <v>23</v>
      </c>
      <c r="P382" t="s">
        <v>31</v>
      </c>
    </row>
    <row r="383" spans="1:16" x14ac:dyDescent="0.35">
      <c r="A383">
        <v>100382</v>
      </c>
      <c r="B383" s="1">
        <v>46249</v>
      </c>
      <c r="C383" t="s">
        <v>55</v>
      </c>
      <c r="D383" t="s">
        <v>56</v>
      </c>
      <c r="E383" t="s">
        <v>37</v>
      </c>
      <c r="F383" t="s">
        <v>19</v>
      </c>
      <c r="G383" t="s">
        <v>52</v>
      </c>
      <c r="H383" t="s">
        <v>165</v>
      </c>
      <c r="I383" t="s">
        <v>22</v>
      </c>
      <c r="J383">
        <v>4</v>
      </c>
      <c r="K383">
        <v>42000</v>
      </c>
      <c r="L383">
        <v>0.15</v>
      </c>
      <c r="M383">
        <v>142800</v>
      </c>
      <c r="N383">
        <v>28000</v>
      </c>
      <c r="O383" t="s">
        <v>23</v>
      </c>
      <c r="P383" t="s">
        <v>84</v>
      </c>
    </row>
    <row r="384" spans="1:16" x14ac:dyDescent="0.35">
      <c r="A384">
        <v>100383</v>
      </c>
      <c r="B384" s="1">
        <v>46073</v>
      </c>
      <c r="C384" t="s">
        <v>25</v>
      </c>
      <c r="D384" t="s">
        <v>26</v>
      </c>
      <c r="E384" t="s">
        <v>43</v>
      </c>
      <c r="F384" t="s">
        <v>44</v>
      </c>
      <c r="G384" t="s">
        <v>45</v>
      </c>
      <c r="H384" t="s">
        <v>234</v>
      </c>
      <c r="I384" t="s">
        <v>30</v>
      </c>
      <c r="J384">
        <v>22</v>
      </c>
      <c r="K384">
        <v>6500</v>
      </c>
      <c r="L384">
        <v>0</v>
      </c>
      <c r="M384">
        <v>143000</v>
      </c>
      <c r="N384">
        <v>2200</v>
      </c>
      <c r="O384" t="s">
        <v>23</v>
      </c>
      <c r="P384" t="s">
        <v>58</v>
      </c>
    </row>
    <row r="385" spans="1:16" x14ac:dyDescent="0.35">
      <c r="A385">
        <v>100384</v>
      </c>
      <c r="B385" s="1">
        <v>46227</v>
      </c>
      <c r="C385" t="s">
        <v>50</v>
      </c>
      <c r="D385" t="s">
        <v>51</v>
      </c>
      <c r="E385" t="s">
        <v>37</v>
      </c>
      <c r="F385" t="s">
        <v>19</v>
      </c>
      <c r="G385" t="s">
        <v>62</v>
      </c>
      <c r="H385" t="s">
        <v>178</v>
      </c>
      <c r="I385" t="s">
        <v>30</v>
      </c>
      <c r="J385">
        <v>3</v>
      </c>
      <c r="K385">
        <v>24000</v>
      </c>
      <c r="L385">
        <v>0.05</v>
      </c>
      <c r="M385">
        <v>68400</v>
      </c>
      <c r="N385">
        <v>15000</v>
      </c>
      <c r="O385" t="s">
        <v>23</v>
      </c>
      <c r="P385" t="s">
        <v>64</v>
      </c>
    </row>
    <row r="386" spans="1:16" x14ac:dyDescent="0.35">
      <c r="A386">
        <v>100385</v>
      </c>
      <c r="B386" s="1">
        <v>46205</v>
      </c>
      <c r="C386" t="s">
        <v>42</v>
      </c>
      <c r="D386" t="s">
        <v>26</v>
      </c>
      <c r="E386" t="s">
        <v>43</v>
      </c>
      <c r="F386" t="s">
        <v>27</v>
      </c>
      <c r="G386" t="s">
        <v>28</v>
      </c>
      <c r="H386" t="s">
        <v>53</v>
      </c>
      <c r="I386" t="s">
        <v>30</v>
      </c>
      <c r="J386">
        <v>3</v>
      </c>
      <c r="K386">
        <v>165000</v>
      </c>
      <c r="L386">
        <v>0</v>
      </c>
      <c r="M386">
        <v>495000</v>
      </c>
      <c r="N386">
        <v>112000</v>
      </c>
      <c r="O386" t="s">
        <v>23</v>
      </c>
      <c r="P386" t="s">
        <v>31</v>
      </c>
    </row>
    <row r="387" spans="1:16" x14ac:dyDescent="0.35">
      <c r="A387">
        <v>100386</v>
      </c>
      <c r="B387" s="1">
        <v>46049</v>
      </c>
      <c r="C387" t="s">
        <v>25</v>
      </c>
      <c r="D387" t="s">
        <v>26</v>
      </c>
      <c r="E387" t="s">
        <v>18</v>
      </c>
      <c r="F387" t="s">
        <v>44</v>
      </c>
      <c r="G387" t="s">
        <v>60</v>
      </c>
      <c r="H387" t="s">
        <v>98</v>
      </c>
      <c r="I387" t="s">
        <v>22</v>
      </c>
      <c r="J387">
        <v>3</v>
      </c>
      <c r="K387">
        <v>9000</v>
      </c>
      <c r="L387">
        <v>0</v>
      </c>
      <c r="M387">
        <v>27000</v>
      </c>
      <c r="N387">
        <v>3500</v>
      </c>
      <c r="O387" t="s">
        <v>23</v>
      </c>
      <c r="P387" t="s">
        <v>64</v>
      </c>
    </row>
    <row r="388" spans="1:16" x14ac:dyDescent="0.35">
      <c r="A388">
        <v>100387</v>
      </c>
      <c r="B388" s="1">
        <v>46231</v>
      </c>
      <c r="C388" t="s">
        <v>50</v>
      </c>
      <c r="D388" t="s">
        <v>51</v>
      </c>
      <c r="E388" t="s">
        <v>43</v>
      </c>
      <c r="F388" t="s">
        <v>27</v>
      </c>
      <c r="G388" t="s">
        <v>33</v>
      </c>
      <c r="H388" t="s">
        <v>235</v>
      </c>
      <c r="I388" t="s">
        <v>30</v>
      </c>
      <c r="J388">
        <v>4</v>
      </c>
      <c r="K388">
        <v>32000</v>
      </c>
      <c r="L388">
        <v>0.1</v>
      </c>
      <c r="M388">
        <v>115200</v>
      </c>
      <c r="N388">
        <v>19000</v>
      </c>
      <c r="O388" t="s">
        <v>23</v>
      </c>
      <c r="P388" t="s">
        <v>31</v>
      </c>
    </row>
    <row r="389" spans="1:16" x14ac:dyDescent="0.35">
      <c r="A389">
        <v>100388</v>
      </c>
      <c r="B389" s="1">
        <v>46259</v>
      </c>
      <c r="C389" t="s">
        <v>55</v>
      </c>
      <c r="D389" t="s">
        <v>56</v>
      </c>
      <c r="E389" t="s">
        <v>43</v>
      </c>
      <c r="F389" t="s">
        <v>27</v>
      </c>
      <c r="G389" t="s">
        <v>33</v>
      </c>
      <c r="H389" t="s">
        <v>229</v>
      </c>
      <c r="I389" t="s">
        <v>30</v>
      </c>
      <c r="J389">
        <v>1</v>
      </c>
      <c r="K389">
        <v>32000</v>
      </c>
      <c r="L389">
        <v>0</v>
      </c>
      <c r="M389">
        <v>32000</v>
      </c>
      <c r="N389">
        <v>19000</v>
      </c>
      <c r="O389" t="s">
        <v>23</v>
      </c>
      <c r="P389" t="s">
        <v>47</v>
      </c>
    </row>
    <row r="390" spans="1:16" x14ac:dyDescent="0.35">
      <c r="A390">
        <v>100389</v>
      </c>
      <c r="B390" s="1">
        <v>46190</v>
      </c>
      <c r="C390" t="s">
        <v>50</v>
      </c>
      <c r="D390" t="s">
        <v>51</v>
      </c>
      <c r="E390" t="s">
        <v>43</v>
      </c>
      <c r="F390" t="s">
        <v>19</v>
      </c>
      <c r="G390" t="s">
        <v>62</v>
      </c>
      <c r="H390" t="s">
        <v>34</v>
      </c>
      <c r="I390" t="s">
        <v>22</v>
      </c>
      <c r="J390">
        <v>1</v>
      </c>
      <c r="K390">
        <v>24000</v>
      </c>
      <c r="L390">
        <v>0.05</v>
      </c>
      <c r="M390">
        <v>22800</v>
      </c>
      <c r="N390">
        <v>15000</v>
      </c>
      <c r="O390" t="s">
        <v>23</v>
      </c>
      <c r="P390" t="s">
        <v>84</v>
      </c>
    </row>
    <row r="391" spans="1:16" x14ac:dyDescent="0.35">
      <c r="A391">
        <v>100390</v>
      </c>
      <c r="B391" s="1">
        <v>46240</v>
      </c>
      <c r="C391" t="s">
        <v>35</v>
      </c>
      <c r="D391" t="s">
        <v>36</v>
      </c>
      <c r="E391" t="s">
        <v>18</v>
      </c>
      <c r="F391" t="s">
        <v>19</v>
      </c>
      <c r="G391" t="s">
        <v>20</v>
      </c>
      <c r="H391" t="s">
        <v>227</v>
      </c>
      <c r="I391" t="s">
        <v>30</v>
      </c>
      <c r="J391">
        <v>2</v>
      </c>
      <c r="K391">
        <v>58000</v>
      </c>
      <c r="L391">
        <v>0.1</v>
      </c>
      <c r="M391">
        <v>104400</v>
      </c>
      <c r="N391">
        <v>39000</v>
      </c>
      <c r="O391" t="s">
        <v>23</v>
      </c>
      <c r="P391" t="s">
        <v>64</v>
      </c>
    </row>
    <row r="392" spans="1:16" x14ac:dyDescent="0.35">
      <c r="A392">
        <v>100391</v>
      </c>
      <c r="B392" s="1">
        <v>46125</v>
      </c>
      <c r="C392" t="s">
        <v>35</v>
      </c>
      <c r="D392" t="s">
        <v>36</v>
      </c>
      <c r="E392" t="s">
        <v>37</v>
      </c>
      <c r="F392" t="s">
        <v>44</v>
      </c>
      <c r="G392" t="s">
        <v>60</v>
      </c>
      <c r="H392" t="s">
        <v>133</v>
      </c>
      <c r="I392" t="s">
        <v>22</v>
      </c>
      <c r="J392">
        <v>1</v>
      </c>
      <c r="K392">
        <v>9000</v>
      </c>
      <c r="L392">
        <v>0.05</v>
      </c>
      <c r="M392">
        <v>8550</v>
      </c>
      <c r="N392">
        <v>3500</v>
      </c>
      <c r="O392" t="s">
        <v>23</v>
      </c>
      <c r="P392" t="s">
        <v>58</v>
      </c>
    </row>
    <row r="393" spans="1:16" x14ac:dyDescent="0.35">
      <c r="A393">
        <v>100392</v>
      </c>
      <c r="B393" s="1">
        <v>46178</v>
      </c>
      <c r="C393" t="s">
        <v>42</v>
      </c>
      <c r="D393" t="s">
        <v>26</v>
      </c>
      <c r="E393" t="s">
        <v>43</v>
      </c>
      <c r="F393" t="s">
        <v>44</v>
      </c>
      <c r="G393" t="s">
        <v>45</v>
      </c>
      <c r="H393" t="s">
        <v>161</v>
      </c>
      <c r="I393" t="s">
        <v>22</v>
      </c>
      <c r="J393">
        <v>2</v>
      </c>
      <c r="K393">
        <v>6500</v>
      </c>
      <c r="L393">
        <v>0.15</v>
      </c>
      <c r="M393">
        <v>11050</v>
      </c>
      <c r="N393">
        <v>2200</v>
      </c>
      <c r="O393" t="s">
        <v>23</v>
      </c>
      <c r="P393" t="s">
        <v>58</v>
      </c>
    </row>
    <row r="394" spans="1:16" x14ac:dyDescent="0.35">
      <c r="A394">
        <v>100393</v>
      </c>
      <c r="B394" s="1">
        <v>46039</v>
      </c>
      <c r="C394" t="s">
        <v>35</v>
      </c>
      <c r="D394" t="s">
        <v>36</v>
      </c>
      <c r="E394" t="s">
        <v>37</v>
      </c>
      <c r="F394" t="s">
        <v>44</v>
      </c>
      <c r="G394" t="s">
        <v>45</v>
      </c>
      <c r="H394" t="s">
        <v>93</v>
      </c>
      <c r="I394" t="s">
        <v>30</v>
      </c>
      <c r="J394">
        <v>2</v>
      </c>
      <c r="K394">
        <v>6500</v>
      </c>
      <c r="L394">
        <v>0.1</v>
      </c>
      <c r="M394">
        <v>11700</v>
      </c>
      <c r="N394">
        <v>2200</v>
      </c>
      <c r="O394" t="s">
        <v>23</v>
      </c>
      <c r="P394" t="s">
        <v>24</v>
      </c>
    </row>
    <row r="395" spans="1:16" x14ac:dyDescent="0.35">
      <c r="A395">
        <v>100394</v>
      </c>
      <c r="B395" s="1">
        <v>46255</v>
      </c>
      <c r="C395" t="s">
        <v>25</v>
      </c>
      <c r="D395" t="s">
        <v>26</v>
      </c>
      <c r="E395" t="s">
        <v>37</v>
      </c>
      <c r="F395" t="s">
        <v>44</v>
      </c>
      <c r="G395" t="s">
        <v>60</v>
      </c>
      <c r="H395" t="s">
        <v>236</v>
      </c>
      <c r="I395" t="s">
        <v>30</v>
      </c>
      <c r="J395">
        <v>3</v>
      </c>
      <c r="K395">
        <v>9000</v>
      </c>
      <c r="L395">
        <v>0.05</v>
      </c>
      <c r="M395">
        <v>25650</v>
      </c>
      <c r="N395">
        <v>3500</v>
      </c>
      <c r="O395" t="s">
        <v>23</v>
      </c>
      <c r="P395" t="s">
        <v>84</v>
      </c>
    </row>
    <row r="396" spans="1:16" x14ac:dyDescent="0.35">
      <c r="A396">
        <v>100395</v>
      </c>
      <c r="B396" s="1">
        <v>46151</v>
      </c>
      <c r="C396" t="s">
        <v>35</v>
      </c>
      <c r="D396" t="s">
        <v>36</v>
      </c>
      <c r="E396" t="s">
        <v>18</v>
      </c>
      <c r="F396" t="s">
        <v>44</v>
      </c>
      <c r="G396" t="s">
        <v>65</v>
      </c>
      <c r="H396" t="s">
        <v>86</v>
      </c>
      <c r="I396" t="s">
        <v>30</v>
      </c>
      <c r="J396">
        <v>2</v>
      </c>
      <c r="K396">
        <v>28000</v>
      </c>
      <c r="L396">
        <v>0.05</v>
      </c>
      <c r="M396">
        <v>53200</v>
      </c>
      <c r="N396">
        <v>16000</v>
      </c>
      <c r="O396" t="s">
        <v>23</v>
      </c>
      <c r="P396" t="s">
        <v>84</v>
      </c>
    </row>
    <row r="397" spans="1:16" x14ac:dyDescent="0.35">
      <c r="A397">
        <v>100396</v>
      </c>
      <c r="B397" s="1">
        <v>46048</v>
      </c>
      <c r="C397" t="s">
        <v>32</v>
      </c>
      <c r="D397" t="s">
        <v>17</v>
      </c>
      <c r="E397" t="s">
        <v>43</v>
      </c>
      <c r="F397" t="s">
        <v>19</v>
      </c>
      <c r="G397" t="s">
        <v>62</v>
      </c>
      <c r="H397" t="s">
        <v>90</v>
      </c>
      <c r="I397" t="s">
        <v>30</v>
      </c>
      <c r="J397">
        <v>1</v>
      </c>
      <c r="K397">
        <v>24000</v>
      </c>
      <c r="L397">
        <v>0.2</v>
      </c>
      <c r="M397">
        <v>19200</v>
      </c>
      <c r="N397">
        <v>15000</v>
      </c>
      <c r="O397" t="s">
        <v>23</v>
      </c>
      <c r="P397" t="s">
        <v>47</v>
      </c>
    </row>
    <row r="398" spans="1:16" x14ac:dyDescent="0.35">
      <c r="A398">
        <v>100397</v>
      </c>
      <c r="B398" s="1">
        <v>46190</v>
      </c>
      <c r="C398" t="s">
        <v>42</v>
      </c>
      <c r="D398" t="s">
        <v>26</v>
      </c>
      <c r="E398" t="s">
        <v>18</v>
      </c>
      <c r="F398" t="s">
        <v>27</v>
      </c>
      <c r="G398" t="s">
        <v>28</v>
      </c>
      <c r="H398" t="s">
        <v>111</v>
      </c>
      <c r="I398" t="s">
        <v>22</v>
      </c>
      <c r="J398">
        <v>3</v>
      </c>
      <c r="K398">
        <v>165000</v>
      </c>
      <c r="L398">
        <v>0</v>
      </c>
      <c r="M398">
        <v>495000</v>
      </c>
      <c r="N398">
        <v>112000</v>
      </c>
      <c r="O398" t="s">
        <v>23</v>
      </c>
      <c r="P398" t="s">
        <v>40</v>
      </c>
    </row>
    <row r="399" spans="1:16" x14ac:dyDescent="0.35">
      <c r="A399">
        <v>100398</v>
      </c>
      <c r="B399" s="1">
        <v>46218</v>
      </c>
      <c r="C399" t="s">
        <v>25</v>
      </c>
      <c r="D399" t="s">
        <v>26</v>
      </c>
      <c r="E399" t="s">
        <v>43</v>
      </c>
      <c r="F399" t="s">
        <v>19</v>
      </c>
      <c r="G399" t="s">
        <v>20</v>
      </c>
      <c r="H399" t="s">
        <v>69</v>
      </c>
      <c r="I399" t="s">
        <v>30</v>
      </c>
      <c r="J399">
        <v>4</v>
      </c>
      <c r="K399">
        <v>58000</v>
      </c>
      <c r="L399">
        <v>0</v>
      </c>
      <c r="M399">
        <v>232000</v>
      </c>
      <c r="N399">
        <v>39000</v>
      </c>
      <c r="O399" t="s">
        <v>23</v>
      </c>
      <c r="P399" t="s">
        <v>40</v>
      </c>
    </row>
    <row r="400" spans="1:16" x14ac:dyDescent="0.35">
      <c r="A400">
        <v>100399</v>
      </c>
      <c r="B400" s="1">
        <v>46173</v>
      </c>
      <c r="C400" t="s">
        <v>35</v>
      </c>
      <c r="D400" t="s">
        <v>36</v>
      </c>
      <c r="E400" t="s">
        <v>37</v>
      </c>
      <c r="F400" t="s">
        <v>27</v>
      </c>
      <c r="G400" t="s">
        <v>38</v>
      </c>
      <c r="H400" t="s">
        <v>129</v>
      </c>
      <c r="I400" t="s">
        <v>30</v>
      </c>
      <c r="J400">
        <v>2</v>
      </c>
      <c r="K400">
        <v>26000</v>
      </c>
      <c r="L400">
        <v>0.1</v>
      </c>
      <c r="M400">
        <v>46800</v>
      </c>
      <c r="N400">
        <v>15000</v>
      </c>
      <c r="O400" t="s">
        <v>23</v>
      </c>
      <c r="P400" t="s">
        <v>24</v>
      </c>
    </row>
    <row r="401" spans="1:16" x14ac:dyDescent="0.35">
      <c r="A401">
        <v>100400</v>
      </c>
      <c r="B401" s="1">
        <v>46141</v>
      </c>
      <c r="C401" t="s">
        <v>50</v>
      </c>
      <c r="D401" t="s">
        <v>51</v>
      </c>
      <c r="E401" t="s">
        <v>18</v>
      </c>
      <c r="F401" t="s">
        <v>19</v>
      </c>
      <c r="G401" t="s">
        <v>20</v>
      </c>
      <c r="H401" t="s">
        <v>111</v>
      </c>
      <c r="I401" t="s">
        <v>22</v>
      </c>
      <c r="J401">
        <v>1</v>
      </c>
      <c r="K401">
        <v>58000</v>
      </c>
      <c r="L401">
        <v>0</v>
      </c>
      <c r="M401">
        <v>58000</v>
      </c>
      <c r="N401">
        <v>39000</v>
      </c>
      <c r="O401" t="s">
        <v>23</v>
      </c>
      <c r="P401" t="s">
        <v>84</v>
      </c>
    </row>
    <row r="402" spans="1:16" x14ac:dyDescent="0.35">
      <c r="A402">
        <v>100401</v>
      </c>
      <c r="B402" s="1">
        <v>46168</v>
      </c>
      <c r="C402" t="s">
        <v>50</v>
      </c>
      <c r="D402" t="s">
        <v>51</v>
      </c>
      <c r="E402" t="s">
        <v>37</v>
      </c>
      <c r="F402" t="s">
        <v>27</v>
      </c>
      <c r="G402" t="s">
        <v>28</v>
      </c>
      <c r="H402" t="s">
        <v>173</v>
      </c>
      <c r="I402" t="s">
        <v>30</v>
      </c>
      <c r="J402">
        <v>3</v>
      </c>
      <c r="K402">
        <v>165000</v>
      </c>
      <c r="L402">
        <v>0</v>
      </c>
      <c r="M402">
        <v>495000</v>
      </c>
      <c r="N402">
        <v>112000</v>
      </c>
      <c r="O402" t="s">
        <v>76</v>
      </c>
      <c r="P402" t="s">
        <v>54</v>
      </c>
    </row>
    <row r="403" spans="1:16" x14ac:dyDescent="0.35">
      <c r="A403">
        <v>100402</v>
      </c>
      <c r="B403" s="1">
        <v>46043</v>
      </c>
      <c r="C403" t="s">
        <v>50</v>
      </c>
      <c r="D403" t="s">
        <v>51</v>
      </c>
      <c r="E403" t="s">
        <v>18</v>
      </c>
      <c r="F403" t="s">
        <v>27</v>
      </c>
      <c r="G403" t="s">
        <v>28</v>
      </c>
      <c r="H403" t="s">
        <v>154</v>
      </c>
      <c r="I403" t="s">
        <v>30</v>
      </c>
      <c r="J403">
        <v>1</v>
      </c>
      <c r="K403">
        <v>165000</v>
      </c>
      <c r="L403">
        <v>0.1</v>
      </c>
      <c r="M403">
        <v>148500</v>
      </c>
      <c r="N403">
        <v>112000</v>
      </c>
      <c r="O403" t="s">
        <v>23</v>
      </c>
      <c r="P403" t="s">
        <v>84</v>
      </c>
    </row>
    <row r="404" spans="1:16" x14ac:dyDescent="0.35">
      <c r="A404">
        <v>100403</v>
      </c>
      <c r="B404" s="1">
        <v>46136</v>
      </c>
      <c r="C404" t="s">
        <v>55</v>
      </c>
      <c r="D404" t="s">
        <v>56</v>
      </c>
      <c r="E404" t="s">
        <v>43</v>
      </c>
      <c r="F404" t="s">
        <v>19</v>
      </c>
      <c r="G404" t="s">
        <v>52</v>
      </c>
      <c r="H404" t="s">
        <v>160</v>
      </c>
      <c r="I404" t="s">
        <v>22</v>
      </c>
      <c r="J404">
        <v>3</v>
      </c>
      <c r="K404">
        <v>42000</v>
      </c>
      <c r="L404">
        <v>0.05</v>
      </c>
      <c r="M404">
        <v>95760</v>
      </c>
      <c r="N404">
        <v>28000</v>
      </c>
      <c r="O404" t="s">
        <v>23</v>
      </c>
      <c r="P404" t="s">
        <v>54</v>
      </c>
    </row>
    <row r="405" spans="1:16" x14ac:dyDescent="0.35">
      <c r="A405">
        <v>100404</v>
      </c>
      <c r="B405" s="1">
        <v>46164</v>
      </c>
      <c r="C405" t="s">
        <v>35</v>
      </c>
      <c r="D405" t="s">
        <v>36</v>
      </c>
      <c r="E405" t="s">
        <v>37</v>
      </c>
      <c r="F405" t="s">
        <v>19</v>
      </c>
      <c r="G405" t="s">
        <v>52</v>
      </c>
      <c r="H405" t="s">
        <v>68</v>
      </c>
      <c r="I405" t="s">
        <v>30</v>
      </c>
      <c r="J405">
        <v>1</v>
      </c>
      <c r="K405">
        <v>42000</v>
      </c>
      <c r="L405">
        <v>0</v>
      </c>
      <c r="M405">
        <v>42000</v>
      </c>
      <c r="N405">
        <v>28000</v>
      </c>
      <c r="O405" t="s">
        <v>23</v>
      </c>
      <c r="P405" t="s">
        <v>54</v>
      </c>
    </row>
    <row r="406" spans="1:16" x14ac:dyDescent="0.35">
      <c r="A406">
        <v>100405</v>
      </c>
      <c r="B406" s="1">
        <v>46152</v>
      </c>
      <c r="C406" t="s">
        <v>55</v>
      </c>
      <c r="D406" t="s">
        <v>56</v>
      </c>
      <c r="E406" t="s">
        <v>37</v>
      </c>
      <c r="F406" t="s">
        <v>19</v>
      </c>
      <c r="G406" t="s">
        <v>52</v>
      </c>
      <c r="H406" t="s">
        <v>208</v>
      </c>
      <c r="I406" t="s">
        <v>22</v>
      </c>
      <c r="J406">
        <v>3</v>
      </c>
      <c r="K406">
        <v>42000</v>
      </c>
      <c r="L406">
        <v>0</v>
      </c>
      <c r="M406">
        <v>126000</v>
      </c>
      <c r="N406">
        <v>28000</v>
      </c>
      <c r="O406" t="s">
        <v>76</v>
      </c>
      <c r="P406" t="s">
        <v>40</v>
      </c>
    </row>
    <row r="407" spans="1:16" x14ac:dyDescent="0.35">
      <c r="A407">
        <v>100406</v>
      </c>
      <c r="B407" s="1">
        <v>46214</v>
      </c>
      <c r="C407" t="s">
        <v>16</v>
      </c>
      <c r="D407" t="s">
        <v>17</v>
      </c>
      <c r="E407" t="s">
        <v>37</v>
      </c>
      <c r="F407" t="s">
        <v>27</v>
      </c>
      <c r="G407" t="s">
        <v>38</v>
      </c>
      <c r="H407" t="s">
        <v>217</v>
      </c>
      <c r="I407" t="s">
        <v>22</v>
      </c>
      <c r="J407">
        <v>1</v>
      </c>
      <c r="K407">
        <v>26000</v>
      </c>
      <c r="L407">
        <v>0</v>
      </c>
      <c r="M407">
        <v>26000</v>
      </c>
      <c r="N407">
        <v>15000</v>
      </c>
      <c r="O407" t="s">
        <v>23</v>
      </c>
      <c r="P407" t="s">
        <v>64</v>
      </c>
    </row>
    <row r="408" spans="1:16" x14ac:dyDescent="0.35">
      <c r="A408">
        <v>100407</v>
      </c>
      <c r="B408" s="1">
        <v>46222</v>
      </c>
      <c r="C408" t="s">
        <v>42</v>
      </c>
      <c r="D408" t="s">
        <v>26</v>
      </c>
      <c r="E408" t="s">
        <v>43</v>
      </c>
      <c r="F408" t="s">
        <v>27</v>
      </c>
      <c r="G408" t="s">
        <v>33</v>
      </c>
      <c r="H408" t="s">
        <v>201</v>
      </c>
      <c r="I408" t="s">
        <v>30</v>
      </c>
      <c r="J408">
        <v>2</v>
      </c>
      <c r="K408">
        <v>32000</v>
      </c>
      <c r="L408">
        <v>0.1</v>
      </c>
      <c r="M408">
        <v>57600</v>
      </c>
      <c r="N408">
        <v>19000</v>
      </c>
      <c r="O408" t="s">
        <v>23</v>
      </c>
      <c r="P408" t="s">
        <v>31</v>
      </c>
    </row>
    <row r="409" spans="1:16" x14ac:dyDescent="0.35">
      <c r="A409">
        <v>100408</v>
      </c>
      <c r="B409" s="1">
        <v>46139</v>
      </c>
      <c r="C409" t="s">
        <v>35</v>
      </c>
      <c r="D409" t="s">
        <v>36</v>
      </c>
      <c r="E409" t="s">
        <v>37</v>
      </c>
      <c r="F409" t="s">
        <v>27</v>
      </c>
      <c r="G409" t="s">
        <v>28</v>
      </c>
      <c r="H409" t="s">
        <v>93</v>
      </c>
      <c r="I409" t="s">
        <v>30</v>
      </c>
      <c r="J409">
        <v>1</v>
      </c>
      <c r="K409">
        <v>165000</v>
      </c>
      <c r="L409">
        <v>0.15</v>
      </c>
      <c r="M409">
        <v>140250</v>
      </c>
      <c r="N409">
        <v>112000</v>
      </c>
      <c r="O409" t="s">
        <v>23</v>
      </c>
      <c r="P409" t="s">
        <v>31</v>
      </c>
    </row>
    <row r="410" spans="1:16" x14ac:dyDescent="0.35">
      <c r="A410">
        <v>100409</v>
      </c>
      <c r="B410" s="1">
        <v>46180</v>
      </c>
      <c r="C410" t="s">
        <v>35</v>
      </c>
      <c r="D410" t="s">
        <v>36</v>
      </c>
      <c r="E410" t="s">
        <v>37</v>
      </c>
      <c r="F410" t="s">
        <v>44</v>
      </c>
      <c r="G410" t="s">
        <v>45</v>
      </c>
      <c r="H410" t="s">
        <v>96</v>
      </c>
      <c r="I410" t="s">
        <v>30</v>
      </c>
      <c r="J410">
        <v>2</v>
      </c>
      <c r="K410">
        <v>6500</v>
      </c>
      <c r="L410">
        <v>0.1</v>
      </c>
      <c r="M410">
        <v>11700</v>
      </c>
      <c r="O410" t="s">
        <v>23</v>
      </c>
      <c r="P410" t="s">
        <v>47</v>
      </c>
    </row>
    <row r="411" spans="1:16" x14ac:dyDescent="0.35">
      <c r="A411">
        <v>100410</v>
      </c>
      <c r="B411" s="1">
        <v>46137</v>
      </c>
      <c r="C411" t="s">
        <v>55</v>
      </c>
      <c r="D411" t="s">
        <v>56</v>
      </c>
      <c r="E411" t="s">
        <v>18</v>
      </c>
      <c r="F411" t="s">
        <v>27</v>
      </c>
      <c r="G411" t="s">
        <v>33</v>
      </c>
      <c r="H411" t="s">
        <v>124</v>
      </c>
      <c r="I411" t="s">
        <v>30</v>
      </c>
      <c r="J411">
        <v>1</v>
      </c>
      <c r="K411">
        <v>32000</v>
      </c>
      <c r="L411">
        <v>0.15</v>
      </c>
      <c r="M411">
        <v>27200</v>
      </c>
      <c r="N411">
        <v>19000</v>
      </c>
      <c r="O411" t="s">
        <v>23</v>
      </c>
      <c r="P411" t="s">
        <v>40</v>
      </c>
    </row>
    <row r="412" spans="1:16" x14ac:dyDescent="0.35">
      <c r="A412">
        <v>100411</v>
      </c>
      <c r="B412" s="1">
        <v>46080</v>
      </c>
      <c r="C412" t="s">
        <v>32</v>
      </c>
      <c r="D412" t="s">
        <v>17</v>
      </c>
      <c r="E412" t="s">
        <v>37</v>
      </c>
      <c r="F412" t="s">
        <v>19</v>
      </c>
      <c r="G412" t="s">
        <v>20</v>
      </c>
      <c r="H412" t="s">
        <v>225</v>
      </c>
      <c r="I412" t="s">
        <v>30</v>
      </c>
      <c r="J412">
        <v>2</v>
      </c>
      <c r="K412">
        <v>58000</v>
      </c>
      <c r="L412">
        <v>0.2</v>
      </c>
      <c r="M412">
        <v>92800</v>
      </c>
      <c r="N412">
        <v>39000</v>
      </c>
      <c r="O412" t="s">
        <v>76</v>
      </c>
      <c r="P412" t="s">
        <v>31</v>
      </c>
    </row>
    <row r="413" spans="1:16" x14ac:dyDescent="0.35">
      <c r="A413">
        <v>100412</v>
      </c>
      <c r="B413" s="1">
        <v>46194</v>
      </c>
      <c r="C413" t="s">
        <v>50</v>
      </c>
      <c r="D413" t="s">
        <v>51</v>
      </c>
      <c r="E413" t="s">
        <v>37</v>
      </c>
      <c r="F413" t="s">
        <v>27</v>
      </c>
      <c r="G413" t="s">
        <v>28</v>
      </c>
      <c r="H413" t="s">
        <v>77</v>
      </c>
      <c r="I413" t="s">
        <v>30</v>
      </c>
      <c r="J413">
        <v>5</v>
      </c>
      <c r="K413">
        <v>165000</v>
      </c>
      <c r="L413">
        <v>0.1</v>
      </c>
      <c r="M413">
        <v>742500</v>
      </c>
      <c r="N413">
        <v>112000</v>
      </c>
      <c r="O413" t="s">
        <v>23</v>
      </c>
      <c r="P413" t="s">
        <v>84</v>
      </c>
    </row>
    <row r="414" spans="1:16" x14ac:dyDescent="0.35">
      <c r="A414">
        <v>100413</v>
      </c>
      <c r="B414" s="1">
        <v>46177</v>
      </c>
      <c r="C414" t="s">
        <v>55</v>
      </c>
      <c r="D414" t="s">
        <v>56</v>
      </c>
      <c r="E414" t="s">
        <v>43</v>
      </c>
      <c r="F414" t="s">
        <v>19</v>
      </c>
      <c r="G414" t="s">
        <v>20</v>
      </c>
      <c r="H414" t="s">
        <v>97</v>
      </c>
      <c r="I414" t="s">
        <v>22</v>
      </c>
      <c r="J414">
        <v>2</v>
      </c>
      <c r="K414">
        <v>58000</v>
      </c>
      <c r="L414">
        <v>0</v>
      </c>
      <c r="M414">
        <v>116000</v>
      </c>
      <c r="N414">
        <v>39000</v>
      </c>
      <c r="O414" t="s">
        <v>23</v>
      </c>
      <c r="P414" t="s">
        <v>24</v>
      </c>
    </row>
    <row r="415" spans="1:16" x14ac:dyDescent="0.35">
      <c r="A415">
        <v>100414</v>
      </c>
      <c r="B415" s="1">
        <v>46096</v>
      </c>
      <c r="C415" t="s">
        <v>50</v>
      </c>
      <c r="D415" t="s">
        <v>51</v>
      </c>
      <c r="E415" t="s">
        <v>43</v>
      </c>
      <c r="F415" t="s">
        <v>19</v>
      </c>
      <c r="G415" t="s">
        <v>52</v>
      </c>
      <c r="H415" t="s">
        <v>182</v>
      </c>
      <c r="I415" t="s">
        <v>30</v>
      </c>
      <c r="J415">
        <v>1</v>
      </c>
      <c r="K415">
        <v>42000</v>
      </c>
      <c r="L415">
        <v>0.1</v>
      </c>
      <c r="M415">
        <v>37800</v>
      </c>
      <c r="N415">
        <v>28000</v>
      </c>
      <c r="O415" t="s">
        <v>23</v>
      </c>
      <c r="P415" t="s">
        <v>84</v>
      </c>
    </row>
    <row r="416" spans="1:16" x14ac:dyDescent="0.35">
      <c r="A416">
        <v>100415</v>
      </c>
      <c r="B416" s="1">
        <v>46119</v>
      </c>
      <c r="C416" t="s">
        <v>25</v>
      </c>
      <c r="D416" t="s">
        <v>26</v>
      </c>
      <c r="E416" t="s">
        <v>43</v>
      </c>
      <c r="F416" t="s">
        <v>44</v>
      </c>
      <c r="G416" t="s">
        <v>45</v>
      </c>
      <c r="H416" t="s">
        <v>119</v>
      </c>
      <c r="I416" t="s">
        <v>30</v>
      </c>
      <c r="J416">
        <v>2</v>
      </c>
      <c r="K416">
        <v>6500</v>
      </c>
      <c r="L416">
        <v>0.05</v>
      </c>
      <c r="M416">
        <v>12350</v>
      </c>
      <c r="N416">
        <v>2200</v>
      </c>
      <c r="O416" t="s">
        <v>23</v>
      </c>
      <c r="P416" t="s">
        <v>47</v>
      </c>
    </row>
    <row r="417" spans="1:16" x14ac:dyDescent="0.35">
      <c r="A417">
        <v>100416</v>
      </c>
      <c r="B417" s="1">
        <v>46028</v>
      </c>
      <c r="C417" t="s">
        <v>55</v>
      </c>
      <c r="D417" t="s">
        <v>56</v>
      </c>
      <c r="E417" t="s">
        <v>18</v>
      </c>
      <c r="F417" t="s">
        <v>27</v>
      </c>
      <c r="G417" t="s">
        <v>38</v>
      </c>
      <c r="H417" t="s">
        <v>237</v>
      </c>
      <c r="I417" t="s">
        <v>22</v>
      </c>
      <c r="J417">
        <v>4</v>
      </c>
      <c r="K417">
        <v>26000</v>
      </c>
      <c r="L417">
        <v>0</v>
      </c>
      <c r="M417">
        <v>104000</v>
      </c>
      <c r="N417">
        <v>15000</v>
      </c>
      <c r="O417" t="s">
        <v>76</v>
      </c>
      <c r="P417" t="s">
        <v>58</v>
      </c>
    </row>
    <row r="418" spans="1:16" x14ac:dyDescent="0.35">
      <c r="A418">
        <v>100417</v>
      </c>
      <c r="B418" s="1">
        <v>46066</v>
      </c>
      <c r="C418" t="s">
        <v>55</v>
      </c>
      <c r="D418" t="s">
        <v>56</v>
      </c>
      <c r="E418" t="s">
        <v>37</v>
      </c>
      <c r="F418" t="s">
        <v>27</v>
      </c>
      <c r="G418" t="s">
        <v>28</v>
      </c>
      <c r="H418" t="s">
        <v>204</v>
      </c>
      <c r="I418" t="s">
        <v>30</v>
      </c>
      <c r="J418">
        <v>4</v>
      </c>
      <c r="K418">
        <v>165000</v>
      </c>
      <c r="L418">
        <v>0.1</v>
      </c>
      <c r="M418">
        <v>594000</v>
      </c>
      <c r="N418">
        <v>112000</v>
      </c>
      <c r="O418" t="s">
        <v>23</v>
      </c>
      <c r="P418" t="s">
        <v>47</v>
      </c>
    </row>
    <row r="419" spans="1:16" x14ac:dyDescent="0.35">
      <c r="A419">
        <v>100418</v>
      </c>
      <c r="B419" s="1">
        <v>46214</v>
      </c>
      <c r="C419" t="s">
        <v>55</v>
      </c>
      <c r="D419" t="s">
        <v>56</v>
      </c>
      <c r="E419" t="s">
        <v>43</v>
      </c>
      <c r="F419" t="s">
        <v>27</v>
      </c>
      <c r="G419" t="s">
        <v>38</v>
      </c>
      <c r="H419" t="s">
        <v>163</v>
      </c>
      <c r="I419" t="s">
        <v>30</v>
      </c>
      <c r="J419">
        <v>3</v>
      </c>
      <c r="K419">
        <v>26000</v>
      </c>
      <c r="L419">
        <v>0</v>
      </c>
      <c r="M419">
        <v>78000</v>
      </c>
      <c r="N419">
        <v>15000</v>
      </c>
      <c r="O419" t="s">
        <v>23</v>
      </c>
      <c r="P419" t="s">
        <v>24</v>
      </c>
    </row>
    <row r="420" spans="1:16" x14ac:dyDescent="0.35">
      <c r="A420">
        <v>100419</v>
      </c>
      <c r="B420" s="1">
        <v>46256</v>
      </c>
      <c r="C420" t="s">
        <v>55</v>
      </c>
      <c r="D420" t="s">
        <v>56</v>
      </c>
      <c r="E420" t="s">
        <v>43</v>
      </c>
      <c r="F420" t="s">
        <v>19</v>
      </c>
      <c r="G420" t="s">
        <v>20</v>
      </c>
      <c r="H420" t="s">
        <v>238</v>
      </c>
      <c r="I420" t="s">
        <v>30</v>
      </c>
      <c r="J420">
        <v>4</v>
      </c>
      <c r="K420">
        <v>58000</v>
      </c>
      <c r="L420">
        <v>0.05</v>
      </c>
      <c r="M420">
        <v>220400</v>
      </c>
      <c r="N420">
        <v>39000</v>
      </c>
      <c r="O420" t="s">
        <v>23</v>
      </c>
      <c r="P420" t="s">
        <v>64</v>
      </c>
    </row>
    <row r="421" spans="1:16" x14ac:dyDescent="0.35">
      <c r="A421">
        <v>100420</v>
      </c>
      <c r="B421" s="1">
        <v>46079</v>
      </c>
      <c r="C421" t="s">
        <v>35</v>
      </c>
      <c r="D421" t="s">
        <v>36</v>
      </c>
      <c r="E421" t="s">
        <v>18</v>
      </c>
      <c r="F421" t="s">
        <v>27</v>
      </c>
      <c r="G421" t="s">
        <v>28</v>
      </c>
      <c r="H421" t="s">
        <v>86</v>
      </c>
      <c r="I421" t="s">
        <v>30</v>
      </c>
      <c r="J421">
        <v>2</v>
      </c>
      <c r="K421">
        <v>165000</v>
      </c>
      <c r="L421">
        <v>0.05</v>
      </c>
      <c r="M421">
        <v>313500</v>
      </c>
      <c r="O421" t="s">
        <v>23</v>
      </c>
      <c r="P421" t="s">
        <v>64</v>
      </c>
    </row>
    <row r="422" spans="1:16" x14ac:dyDescent="0.35">
      <c r="A422">
        <v>100197</v>
      </c>
      <c r="B422" s="1">
        <v>46235</v>
      </c>
      <c r="C422" t="s">
        <v>32</v>
      </c>
      <c r="D422" t="s">
        <v>17</v>
      </c>
      <c r="E422" t="s">
        <v>37</v>
      </c>
      <c r="F422" t="s">
        <v>44</v>
      </c>
      <c r="G422" t="s">
        <v>60</v>
      </c>
      <c r="H422" t="s">
        <v>187</v>
      </c>
      <c r="I422" t="s">
        <v>30</v>
      </c>
      <c r="J422">
        <v>1</v>
      </c>
      <c r="K422">
        <v>9000</v>
      </c>
      <c r="L422">
        <v>0.25</v>
      </c>
      <c r="M422">
        <v>6750</v>
      </c>
      <c r="N422">
        <v>3500</v>
      </c>
      <c r="O422" t="s">
        <v>76</v>
      </c>
      <c r="P422" t="s">
        <v>31</v>
      </c>
    </row>
    <row r="423" spans="1:16" x14ac:dyDescent="0.35">
      <c r="A423">
        <v>100196</v>
      </c>
      <c r="B423" s="1">
        <v>46078</v>
      </c>
      <c r="C423" t="s">
        <v>42</v>
      </c>
      <c r="D423" t="s">
        <v>185</v>
      </c>
      <c r="E423" t="s">
        <v>43</v>
      </c>
      <c r="F423" t="s">
        <v>27</v>
      </c>
      <c r="G423" t="s">
        <v>33</v>
      </c>
      <c r="H423" t="s">
        <v>186</v>
      </c>
      <c r="I423" t="s">
        <v>30</v>
      </c>
      <c r="J423">
        <v>4</v>
      </c>
      <c r="K423">
        <v>32000</v>
      </c>
      <c r="L423">
        <v>0.1</v>
      </c>
      <c r="M423">
        <v>115200</v>
      </c>
      <c r="N423">
        <v>19000</v>
      </c>
      <c r="O423" t="s">
        <v>23</v>
      </c>
      <c r="P423" t="s">
        <v>40</v>
      </c>
    </row>
    <row r="424" spans="1:16" x14ac:dyDescent="0.35">
      <c r="A424">
        <v>100304</v>
      </c>
      <c r="B424" s="1">
        <v>46204</v>
      </c>
      <c r="C424" t="s">
        <v>35</v>
      </c>
      <c r="D424" t="s">
        <v>36</v>
      </c>
      <c r="E424" t="s">
        <v>18</v>
      </c>
      <c r="F424" t="s">
        <v>19</v>
      </c>
      <c r="G424" t="s">
        <v>20</v>
      </c>
      <c r="H424" t="s">
        <v>218</v>
      </c>
      <c r="I424" t="s">
        <v>22</v>
      </c>
      <c r="J424">
        <v>5</v>
      </c>
      <c r="K424">
        <v>58000</v>
      </c>
      <c r="L424">
        <v>0.1</v>
      </c>
      <c r="M424">
        <v>261000</v>
      </c>
      <c r="N424">
        <v>39000</v>
      </c>
      <c r="O424" t="s">
        <v>23</v>
      </c>
      <c r="P424" t="s">
        <v>47</v>
      </c>
    </row>
    <row r="425" spans="1:16" x14ac:dyDescent="0.35">
      <c r="A425">
        <v>100306</v>
      </c>
      <c r="B425" s="1">
        <v>46095</v>
      </c>
      <c r="C425" t="s">
        <v>55</v>
      </c>
      <c r="D425" t="s">
        <v>56</v>
      </c>
      <c r="E425" t="s">
        <v>43</v>
      </c>
      <c r="F425" t="s">
        <v>44</v>
      </c>
      <c r="G425" t="s">
        <v>60</v>
      </c>
      <c r="H425" t="s">
        <v>217</v>
      </c>
      <c r="I425" t="s">
        <v>22</v>
      </c>
      <c r="J425">
        <v>1</v>
      </c>
      <c r="K425">
        <v>9000</v>
      </c>
      <c r="L425">
        <v>0.15</v>
      </c>
      <c r="M425">
        <v>7650</v>
      </c>
      <c r="N425">
        <v>3500</v>
      </c>
      <c r="O425" t="s">
        <v>23</v>
      </c>
      <c r="P425" t="s">
        <v>84</v>
      </c>
    </row>
    <row r="426" spans="1:16" x14ac:dyDescent="0.35">
      <c r="A426">
        <v>100367</v>
      </c>
      <c r="B426" s="1">
        <v>46225</v>
      </c>
      <c r="C426" t="s">
        <v>35</v>
      </c>
      <c r="D426" t="s">
        <v>36</v>
      </c>
      <c r="E426" t="s">
        <v>43</v>
      </c>
      <c r="F426" t="s">
        <v>44</v>
      </c>
      <c r="G426" t="s">
        <v>60</v>
      </c>
      <c r="H426" t="s">
        <v>106</v>
      </c>
      <c r="I426" t="s">
        <v>30</v>
      </c>
      <c r="J426">
        <v>2</v>
      </c>
      <c r="K426">
        <v>9000</v>
      </c>
      <c r="L426">
        <v>0</v>
      </c>
      <c r="M426">
        <v>18000</v>
      </c>
      <c r="N426">
        <v>3500</v>
      </c>
      <c r="O426" t="s">
        <v>23</v>
      </c>
      <c r="P426" t="s">
        <v>31</v>
      </c>
    </row>
    <row r="427" spans="1:16" x14ac:dyDescent="0.35">
      <c r="A427">
        <v>100252</v>
      </c>
      <c r="B427" s="1">
        <v>46214</v>
      </c>
      <c r="C427" t="s">
        <v>35</v>
      </c>
      <c r="D427" t="s">
        <v>36</v>
      </c>
      <c r="E427" t="s">
        <v>43</v>
      </c>
      <c r="F427" t="s">
        <v>27</v>
      </c>
      <c r="G427" t="s">
        <v>38</v>
      </c>
      <c r="H427" t="s">
        <v>167</v>
      </c>
      <c r="I427" t="s">
        <v>30</v>
      </c>
      <c r="J427">
        <v>2</v>
      </c>
      <c r="K427">
        <v>26000</v>
      </c>
      <c r="L427">
        <v>0</v>
      </c>
      <c r="M427">
        <v>52000</v>
      </c>
      <c r="N427">
        <v>15000</v>
      </c>
      <c r="O427" t="s">
        <v>23</v>
      </c>
      <c r="P427" t="s">
        <v>58</v>
      </c>
    </row>
    <row r="428" spans="1:16" x14ac:dyDescent="0.35">
      <c r="A428">
        <v>100276</v>
      </c>
      <c r="B428" s="1">
        <v>46195</v>
      </c>
      <c r="C428" t="s">
        <v>42</v>
      </c>
      <c r="D428" t="s">
        <v>26</v>
      </c>
      <c r="E428" t="s">
        <v>37</v>
      </c>
      <c r="F428" t="s">
        <v>19</v>
      </c>
      <c r="G428" t="s">
        <v>62</v>
      </c>
      <c r="H428" t="s">
        <v>158</v>
      </c>
      <c r="I428" t="s">
        <v>22</v>
      </c>
      <c r="J428">
        <v>2</v>
      </c>
      <c r="K428">
        <v>24000</v>
      </c>
      <c r="L428">
        <v>0.1</v>
      </c>
      <c r="M428">
        <v>43200</v>
      </c>
      <c r="N428">
        <v>15000</v>
      </c>
      <c r="O428" t="s">
        <v>23</v>
      </c>
      <c r="P428" t="s">
        <v>58</v>
      </c>
    </row>
    <row r="429" spans="1:16" x14ac:dyDescent="0.35">
      <c r="A429">
        <v>100395</v>
      </c>
      <c r="B429" s="1">
        <v>46151</v>
      </c>
      <c r="C429" t="s">
        <v>35</v>
      </c>
      <c r="D429" t="s">
        <v>36</v>
      </c>
      <c r="E429" t="s">
        <v>18</v>
      </c>
      <c r="F429" t="s">
        <v>44</v>
      </c>
      <c r="G429" t="s">
        <v>65</v>
      </c>
      <c r="H429" t="s">
        <v>86</v>
      </c>
      <c r="I429" t="s">
        <v>30</v>
      </c>
      <c r="J429">
        <v>2</v>
      </c>
      <c r="K429">
        <v>28000</v>
      </c>
      <c r="L429">
        <v>0.05</v>
      </c>
      <c r="M429">
        <v>53200</v>
      </c>
      <c r="N429">
        <v>16000</v>
      </c>
      <c r="O429" t="s">
        <v>23</v>
      </c>
      <c r="P429" t="s">
        <v>84</v>
      </c>
    </row>
    <row r="430" spans="1:16" x14ac:dyDescent="0.35">
      <c r="A430">
        <v>100074</v>
      </c>
      <c r="B430" s="1">
        <v>46132</v>
      </c>
      <c r="C430" t="s">
        <v>50</v>
      </c>
      <c r="D430" t="s">
        <v>51</v>
      </c>
      <c r="E430" t="s">
        <v>43</v>
      </c>
      <c r="F430" t="s">
        <v>44</v>
      </c>
      <c r="G430" t="s">
        <v>45</v>
      </c>
      <c r="H430" t="s">
        <v>122</v>
      </c>
      <c r="I430" t="s">
        <v>22</v>
      </c>
      <c r="J430">
        <v>4</v>
      </c>
      <c r="K430">
        <v>6500</v>
      </c>
      <c r="L430">
        <v>0.05</v>
      </c>
      <c r="M430">
        <v>24700</v>
      </c>
      <c r="N430">
        <v>2200</v>
      </c>
      <c r="O430" t="s">
        <v>23</v>
      </c>
      <c r="P430" t="s">
        <v>24</v>
      </c>
    </row>
    <row r="431" spans="1:16" x14ac:dyDescent="0.35">
      <c r="A431">
        <v>100386</v>
      </c>
      <c r="B431" s="1">
        <v>46049</v>
      </c>
      <c r="C431" t="s">
        <v>25</v>
      </c>
      <c r="D431" t="s">
        <v>26</v>
      </c>
      <c r="E431" t="s">
        <v>18</v>
      </c>
      <c r="F431" t="s">
        <v>44</v>
      </c>
      <c r="G431" t="s">
        <v>60</v>
      </c>
      <c r="H431" t="s">
        <v>98</v>
      </c>
      <c r="I431" t="s">
        <v>22</v>
      </c>
      <c r="J431">
        <v>3</v>
      </c>
      <c r="K431">
        <v>9000</v>
      </c>
      <c r="L431">
        <v>0</v>
      </c>
      <c r="M431">
        <v>27000</v>
      </c>
      <c r="N431">
        <v>3500</v>
      </c>
      <c r="O431" t="s">
        <v>23</v>
      </c>
      <c r="P431" t="s">
        <v>64</v>
      </c>
    </row>
    <row r="432" spans="1:16" x14ac:dyDescent="0.35">
      <c r="A432">
        <v>100061</v>
      </c>
      <c r="B432" s="1">
        <v>46251</v>
      </c>
      <c r="C432" t="s">
        <v>42</v>
      </c>
      <c r="D432" t="s">
        <v>26</v>
      </c>
      <c r="E432" t="s">
        <v>43</v>
      </c>
      <c r="F432" t="s">
        <v>27</v>
      </c>
      <c r="G432" t="s">
        <v>33</v>
      </c>
      <c r="H432" t="s">
        <v>111</v>
      </c>
      <c r="I432" t="s">
        <v>30</v>
      </c>
      <c r="J432">
        <v>1</v>
      </c>
      <c r="K432">
        <v>32000</v>
      </c>
      <c r="L432">
        <v>0.15</v>
      </c>
      <c r="M432">
        <v>27200</v>
      </c>
      <c r="N432">
        <v>19000</v>
      </c>
      <c r="O432" t="s">
        <v>23</v>
      </c>
      <c r="P432" t="s">
        <v>84</v>
      </c>
    </row>
    <row r="433" spans="1:16" x14ac:dyDescent="0.35">
      <c r="A433">
        <v>100401</v>
      </c>
      <c r="B433" s="1">
        <v>46168</v>
      </c>
      <c r="C433" t="s">
        <v>50</v>
      </c>
      <c r="D433" t="s">
        <v>51</v>
      </c>
      <c r="E433" t="s">
        <v>37</v>
      </c>
      <c r="F433" t="s">
        <v>27</v>
      </c>
      <c r="G433" t="s">
        <v>28</v>
      </c>
      <c r="H433" t="s">
        <v>173</v>
      </c>
      <c r="I433" t="s">
        <v>30</v>
      </c>
      <c r="J433">
        <v>3</v>
      </c>
      <c r="K433">
        <v>165000</v>
      </c>
      <c r="L433">
        <v>0</v>
      </c>
      <c r="M433">
        <v>495000</v>
      </c>
      <c r="N433">
        <v>112000</v>
      </c>
      <c r="O433" t="s">
        <v>76</v>
      </c>
      <c r="P43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A889A-1B38-4DCF-A20B-70C7116B7383}">
  <dimension ref="A1:X421"/>
  <sheetViews>
    <sheetView tabSelected="1" zoomScale="83" zoomScaleNormal="83" workbookViewId="0">
      <pane ySplit="1" topLeftCell="A2" activePane="bottomLeft" state="frozen"/>
      <selection activeCell="D1" sqref="D1"/>
      <selection pane="bottomLeft" activeCell="B12" sqref="B12"/>
    </sheetView>
  </sheetViews>
  <sheetFormatPr defaultRowHeight="14.5" x14ac:dyDescent="0.35"/>
  <cols>
    <col min="1" max="1" width="13.453125" bestFit="1" customWidth="1"/>
    <col min="2" max="2" width="10.08984375" bestFit="1" customWidth="1"/>
    <col min="3" max="3" width="8" bestFit="1" customWidth="1"/>
    <col min="4" max="4" width="12.08984375" bestFit="1" customWidth="1"/>
    <col min="5" max="5" width="9.54296875" bestFit="1" customWidth="1"/>
    <col min="6" max="6" width="15.7265625" bestFit="1" customWidth="1"/>
    <col min="7" max="7" width="11.90625" bestFit="1" customWidth="1"/>
    <col min="8" max="8" width="11.7265625" bestFit="1" customWidth="1"/>
    <col min="9" max="9" width="14" bestFit="1" customWidth="1"/>
    <col min="10" max="10" width="5.08984375" bestFit="1" customWidth="1"/>
    <col min="11" max="11" width="14.1796875" bestFit="1" customWidth="1"/>
    <col min="12" max="12" width="11.54296875" bestFit="1" customWidth="1"/>
    <col min="13" max="13" width="21.81640625" bestFit="1" customWidth="1"/>
    <col min="14" max="14" width="17.6328125" bestFit="1" customWidth="1"/>
    <col min="15" max="15" width="10.7265625" bestFit="1" customWidth="1"/>
    <col min="16" max="16" width="9.1796875" bestFit="1" customWidth="1"/>
    <col min="17" max="17" width="18.26953125" bestFit="1" customWidth="1"/>
    <col min="18" max="18" width="23.7265625" bestFit="1" customWidth="1"/>
    <col min="19" max="19" width="14.6328125" bestFit="1" customWidth="1"/>
    <col min="20" max="20" width="20" bestFit="1" customWidth="1"/>
    <col min="22" max="22" width="18.08984375" bestFit="1" customWidth="1"/>
    <col min="23" max="23" width="28.45312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259</v>
      </c>
      <c r="R1" t="s">
        <v>260</v>
      </c>
      <c r="S1" t="s">
        <v>266</v>
      </c>
      <c r="T1" t="s">
        <v>267</v>
      </c>
      <c r="U1" t="s">
        <v>271</v>
      </c>
      <c r="V1" t="s">
        <v>272</v>
      </c>
      <c r="W1" t="s">
        <v>278</v>
      </c>
      <c r="X1" t="s">
        <v>279</v>
      </c>
    </row>
    <row r="2" spans="1:24" x14ac:dyDescent="0.35">
      <c r="A2">
        <v>100001</v>
      </c>
      <c r="B2" s="1">
        <v>46167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>
        <v>58000</v>
      </c>
      <c r="L2">
        <v>0</v>
      </c>
      <c r="M2">
        <v>58000</v>
      </c>
      <c r="N2">
        <v>39000</v>
      </c>
      <c r="O2" t="s">
        <v>23</v>
      </c>
      <c r="P2" t="s">
        <v>24</v>
      </c>
      <c r="Q2">
        <f t="shared" ref="Q2:Q65" si="0">J2*K2*(1-L2)</f>
        <v>58000</v>
      </c>
      <c r="R2">
        <f t="shared" ref="R2:R65" si="1">M2-Q2</f>
        <v>0</v>
      </c>
      <c r="S2">
        <f>J2*N2</f>
        <v>39000</v>
      </c>
      <c r="T2">
        <f>Q2-S2</f>
        <v>19000</v>
      </c>
      <c r="U2">
        <f>LEN(D2)</f>
        <v>5</v>
      </c>
      <c r="V2" t="b">
        <f>AND(LEFT(D2,5)="Lagos",LEN(D2)&gt;5)</f>
        <v>0</v>
      </c>
      <c r="W2">
        <f>LEN(F2)</f>
        <v>4</v>
      </c>
      <c r="X2" t="b">
        <f>AND(LEFT(F2,11)="Accessories",LEN(F2)&gt;11)</f>
        <v>0</v>
      </c>
    </row>
    <row r="3" spans="1:24" x14ac:dyDescent="0.35">
      <c r="A3">
        <v>100002</v>
      </c>
      <c r="B3" s="1">
        <v>46129</v>
      </c>
      <c r="C3" t="s">
        <v>25</v>
      </c>
      <c r="D3" t="s">
        <v>26</v>
      </c>
      <c r="E3" t="s">
        <v>18</v>
      </c>
      <c r="F3" t="s">
        <v>27</v>
      </c>
      <c r="G3" t="s">
        <v>28</v>
      </c>
      <c r="H3" t="s">
        <v>29</v>
      </c>
      <c r="I3" t="s">
        <v>30</v>
      </c>
      <c r="J3">
        <v>5</v>
      </c>
      <c r="K3">
        <v>165000</v>
      </c>
      <c r="L3">
        <v>0.05</v>
      </c>
      <c r="M3">
        <v>627000</v>
      </c>
      <c r="N3">
        <v>112000</v>
      </c>
      <c r="O3" t="s">
        <v>23</v>
      </c>
      <c r="P3" t="s">
        <v>31</v>
      </c>
      <c r="Q3">
        <f t="shared" si="0"/>
        <v>783750</v>
      </c>
      <c r="R3">
        <f t="shared" si="1"/>
        <v>-156750</v>
      </c>
      <c r="S3">
        <f t="shared" ref="S3:S66" si="2">J3*N3</f>
        <v>560000</v>
      </c>
      <c r="T3">
        <f t="shared" ref="T3:T66" si="3">Q3-S3</f>
        <v>223750</v>
      </c>
      <c r="U3">
        <f t="shared" ref="U3:U66" si="4">LEN(D3)</f>
        <v>5</v>
      </c>
      <c r="V3" t="b">
        <f t="shared" ref="V3:V66" si="5">AND(LEFT(D3,5)="Lagos",LEN(D3)&gt;5)</f>
        <v>0</v>
      </c>
      <c r="W3">
        <f t="shared" ref="W3:W66" si="6">LEN(F3)</f>
        <v>11</v>
      </c>
      <c r="X3" t="b">
        <f t="shared" ref="X3:X66" si="7">AND(LEFT(F3,11)="Accessories",LEN(F3)&gt;11)</f>
        <v>0</v>
      </c>
    </row>
    <row r="4" spans="1:24" x14ac:dyDescent="0.35">
      <c r="A4">
        <v>100003</v>
      </c>
      <c r="B4" s="1">
        <v>46079</v>
      </c>
      <c r="C4" t="s">
        <v>32</v>
      </c>
      <c r="D4" t="s">
        <v>17</v>
      </c>
      <c r="E4" t="s">
        <v>18</v>
      </c>
      <c r="F4" t="s">
        <v>27</v>
      </c>
      <c r="G4" t="s">
        <v>33</v>
      </c>
      <c r="H4" t="s">
        <v>34</v>
      </c>
      <c r="I4" t="s">
        <v>30</v>
      </c>
      <c r="J4">
        <v>3</v>
      </c>
      <c r="K4">
        <v>32000</v>
      </c>
      <c r="L4">
        <v>0.2</v>
      </c>
      <c r="M4">
        <v>76800</v>
      </c>
      <c r="N4">
        <v>19000</v>
      </c>
      <c r="O4" t="s">
        <v>23</v>
      </c>
      <c r="P4" t="s">
        <v>24</v>
      </c>
      <c r="Q4">
        <f t="shared" si="0"/>
        <v>76800</v>
      </c>
      <c r="R4">
        <f t="shared" si="1"/>
        <v>0</v>
      </c>
      <c r="S4">
        <f t="shared" si="2"/>
        <v>57000</v>
      </c>
      <c r="T4">
        <f t="shared" si="3"/>
        <v>19800</v>
      </c>
      <c r="U4">
        <f t="shared" si="4"/>
        <v>5</v>
      </c>
      <c r="V4" t="b">
        <f t="shared" si="5"/>
        <v>0</v>
      </c>
      <c r="W4">
        <f t="shared" si="6"/>
        <v>11</v>
      </c>
      <c r="X4" t="b">
        <f t="shared" si="7"/>
        <v>0</v>
      </c>
    </row>
    <row r="5" spans="1:24" x14ac:dyDescent="0.35">
      <c r="A5">
        <v>100004</v>
      </c>
      <c r="B5" s="1">
        <v>46182</v>
      </c>
      <c r="C5" t="s">
        <v>35</v>
      </c>
      <c r="D5" t="s">
        <v>36</v>
      </c>
      <c r="E5" t="s">
        <v>37</v>
      </c>
      <c r="F5" t="s">
        <v>27</v>
      </c>
      <c r="G5" t="s">
        <v>38</v>
      </c>
      <c r="H5" t="s">
        <v>39</v>
      </c>
      <c r="I5" t="s">
        <v>30</v>
      </c>
      <c r="J5">
        <v>4</v>
      </c>
      <c r="K5">
        <v>26000</v>
      </c>
      <c r="L5">
        <v>0</v>
      </c>
      <c r="M5">
        <v>104000</v>
      </c>
      <c r="N5">
        <v>15000</v>
      </c>
      <c r="O5" t="s">
        <v>23</v>
      </c>
      <c r="P5" t="s">
        <v>40</v>
      </c>
      <c r="Q5">
        <f t="shared" si="0"/>
        <v>104000</v>
      </c>
      <c r="R5">
        <f t="shared" si="1"/>
        <v>0</v>
      </c>
      <c r="S5">
        <f t="shared" si="2"/>
        <v>60000</v>
      </c>
      <c r="T5">
        <f t="shared" si="3"/>
        <v>44000</v>
      </c>
      <c r="U5">
        <f t="shared" si="4"/>
        <v>4</v>
      </c>
      <c r="V5" t="b">
        <f t="shared" si="5"/>
        <v>0</v>
      </c>
      <c r="W5">
        <f t="shared" si="6"/>
        <v>11</v>
      </c>
      <c r="X5" t="b">
        <f t="shared" si="7"/>
        <v>0</v>
      </c>
    </row>
    <row r="6" spans="1:24" x14ac:dyDescent="0.35">
      <c r="A6">
        <v>100005</v>
      </c>
      <c r="B6" s="1">
        <v>46172</v>
      </c>
      <c r="C6" t="s">
        <v>25</v>
      </c>
      <c r="D6" t="s">
        <v>26</v>
      </c>
      <c r="E6" t="s">
        <v>37</v>
      </c>
      <c r="F6" t="s">
        <v>27</v>
      </c>
      <c r="G6" t="s">
        <v>28</v>
      </c>
      <c r="H6" t="s">
        <v>41</v>
      </c>
      <c r="I6" t="s">
        <v>30</v>
      </c>
      <c r="J6">
        <v>1</v>
      </c>
      <c r="K6">
        <v>165000</v>
      </c>
      <c r="L6">
        <v>0.05</v>
      </c>
      <c r="M6">
        <v>156750</v>
      </c>
      <c r="N6">
        <v>112000</v>
      </c>
      <c r="O6" t="s">
        <v>23</v>
      </c>
      <c r="P6" t="s">
        <v>24</v>
      </c>
      <c r="Q6">
        <f t="shared" si="0"/>
        <v>156750</v>
      </c>
      <c r="R6">
        <f t="shared" si="1"/>
        <v>0</v>
      </c>
      <c r="S6">
        <f t="shared" si="2"/>
        <v>112000</v>
      </c>
      <c r="T6">
        <f t="shared" si="3"/>
        <v>44750</v>
      </c>
      <c r="U6">
        <f t="shared" si="4"/>
        <v>5</v>
      </c>
      <c r="V6" t="b">
        <f t="shared" si="5"/>
        <v>0</v>
      </c>
      <c r="W6">
        <f t="shared" si="6"/>
        <v>11</v>
      </c>
      <c r="X6" t="b">
        <f t="shared" si="7"/>
        <v>0</v>
      </c>
    </row>
    <row r="7" spans="1:24" x14ac:dyDescent="0.35">
      <c r="A7">
        <v>100006</v>
      </c>
      <c r="B7" s="1">
        <v>46238</v>
      </c>
      <c r="C7" t="s">
        <v>42</v>
      </c>
      <c r="D7" t="s">
        <v>26</v>
      </c>
      <c r="E7" t="s">
        <v>43</v>
      </c>
      <c r="F7" t="s">
        <v>44</v>
      </c>
      <c r="G7" t="s">
        <v>45</v>
      </c>
      <c r="H7" t="s">
        <v>46</v>
      </c>
      <c r="I7" t="s">
        <v>30</v>
      </c>
      <c r="J7">
        <v>3</v>
      </c>
      <c r="K7">
        <v>6500</v>
      </c>
      <c r="L7">
        <v>0.1</v>
      </c>
      <c r="M7">
        <v>17550</v>
      </c>
      <c r="N7">
        <v>2200</v>
      </c>
      <c r="O7" t="s">
        <v>23</v>
      </c>
      <c r="P7" t="s">
        <v>47</v>
      </c>
      <c r="Q7">
        <f t="shared" si="0"/>
        <v>17550</v>
      </c>
      <c r="R7">
        <f t="shared" si="1"/>
        <v>0</v>
      </c>
      <c r="S7">
        <f t="shared" si="2"/>
        <v>6600</v>
      </c>
      <c r="T7">
        <f t="shared" si="3"/>
        <v>10950</v>
      </c>
      <c r="U7">
        <f t="shared" si="4"/>
        <v>5</v>
      </c>
      <c r="V7" t="b">
        <f t="shared" si="5"/>
        <v>0</v>
      </c>
      <c r="W7">
        <f t="shared" si="6"/>
        <v>11</v>
      </c>
      <c r="X7" t="b">
        <f t="shared" si="7"/>
        <v>0</v>
      </c>
    </row>
    <row r="8" spans="1:24" x14ac:dyDescent="0.35">
      <c r="A8">
        <v>100007</v>
      </c>
      <c r="B8" s="1">
        <v>46090</v>
      </c>
      <c r="C8" t="s">
        <v>25</v>
      </c>
      <c r="D8" t="s">
        <v>26</v>
      </c>
      <c r="E8" t="s">
        <v>43</v>
      </c>
      <c r="F8" t="s">
        <v>27</v>
      </c>
      <c r="G8" t="s">
        <v>38</v>
      </c>
      <c r="H8" t="s">
        <v>48</v>
      </c>
      <c r="I8" t="s">
        <v>22</v>
      </c>
      <c r="J8">
        <v>3</v>
      </c>
      <c r="K8">
        <v>26000</v>
      </c>
      <c r="L8">
        <v>0.1</v>
      </c>
      <c r="M8">
        <v>70200</v>
      </c>
      <c r="N8">
        <v>15000</v>
      </c>
      <c r="O8" t="s">
        <v>23</v>
      </c>
      <c r="P8" t="s">
        <v>24</v>
      </c>
      <c r="Q8">
        <f t="shared" si="0"/>
        <v>70200</v>
      </c>
      <c r="R8">
        <f t="shared" si="1"/>
        <v>0</v>
      </c>
      <c r="S8">
        <f t="shared" si="2"/>
        <v>45000</v>
      </c>
      <c r="T8">
        <f t="shared" si="3"/>
        <v>25200</v>
      </c>
      <c r="U8">
        <f t="shared" si="4"/>
        <v>5</v>
      </c>
      <c r="V8" t="b">
        <f t="shared" si="5"/>
        <v>0</v>
      </c>
      <c r="W8">
        <f t="shared" si="6"/>
        <v>11</v>
      </c>
      <c r="X8" t="b">
        <f t="shared" si="7"/>
        <v>0</v>
      </c>
    </row>
    <row r="9" spans="1:24" x14ac:dyDescent="0.35">
      <c r="A9">
        <v>100008</v>
      </c>
      <c r="B9" s="1">
        <v>46229</v>
      </c>
      <c r="C9" t="s">
        <v>35</v>
      </c>
      <c r="D9" t="s">
        <v>36</v>
      </c>
      <c r="E9" t="s">
        <v>37</v>
      </c>
      <c r="F9" t="s">
        <v>27</v>
      </c>
      <c r="G9" t="s">
        <v>28</v>
      </c>
      <c r="H9" t="s">
        <v>49</v>
      </c>
      <c r="I9" t="s">
        <v>30</v>
      </c>
      <c r="J9">
        <v>5</v>
      </c>
      <c r="K9">
        <v>165000</v>
      </c>
      <c r="L9">
        <v>0.05</v>
      </c>
      <c r="M9">
        <v>783750</v>
      </c>
      <c r="N9">
        <v>112000</v>
      </c>
      <c r="O9" t="s">
        <v>23</v>
      </c>
      <c r="P9" t="s">
        <v>31</v>
      </c>
      <c r="Q9">
        <f t="shared" si="0"/>
        <v>783750</v>
      </c>
      <c r="R9">
        <f t="shared" si="1"/>
        <v>0</v>
      </c>
      <c r="S9">
        <f t="shared" si="2"/>
        <v>560000</v>
      </c>
      <c r="T9">
        <f t="shared" si="3"/>
        <v>223750</v>
      </c>
      <c r="U9">
        <f t="shared" si="4"/>
        <v>4</v>
      </c>
      <c r="V9" t="b">
        <f t="shared" si="5"/>
        <v>0</v>
      </c>
      <c r="W9">
        <f t="shared" si="6"/>
        <v>11</v>
      </c>
      <c r="X9" t="b">
        <f t="shared" si="7"/>
        <v>0</v>
      </c>
    </row>
    <row r="10" spans="1:24" x14ac:dyDescent="0.35">
      <c r="A10">
        <v>100009</v>
      </c>
      <c r="B10" s="1">
        <v>46028</v>
      </c>
      <c r="C10" t="s">
        <v>50</v>
      </c>
      <c r="D10" t="s">
        <v>51</v>
      </c>
      <c r="E10" t="s">
        <v>43</v>
      </c>
      <c r="F10" t="s">
        <v>19</v>
      </c>
      <c r="G10" t="s">
        <v>52</v>
      </c>
      <c r="H10" t="s">
        <v>53</v>
      </c>
      <c r="I10" t="s">
        <v>30</v>
      </c>
      <c r="J10">
        <v>3</v>
      </c>
      <c r="K10">
        <v>42000</v>
      </c>
      <c r="L10">
        <v>0.15</v>
      </c>
      <c r="M10">
        <v>107100</v>
      </c>
      <c r="N10">
        <v>28000</v>
      </c>
      <c r="O10" t="s">
        <v>23</v>
      </c>
      <c r="P10" t="s">
        <v>54</v>
      </c>
      <c r="Q10">
        <f t="shared" si="0"/>
        <v>107100</v>
      </c>
      <c r="R10">
        <f t="shared" si="1"/>
        <v>0</v>
      </c>
      <c r="S10">
        <f t="shared" si="2"/>
        <v>84000</v>
      </c>
      <c r="T10">
        <f t="shared" si="3"/>
        <v>23100</v>
      </c>
      <c r="U10">
        <f t="shared" si="4"/>
        <v>6</v>
      </c>
      <c r="V10" t="b">
        <f t="shared" si="5"/>
        <v>0</v>
      </c>
      <c r="W10">
        <f t="shared" si="6"/>
        <v>4</v>
      </c>
      <c r="X10" t="b">
        <f t="shared" si="7"/>
        <v>0</v>
      </c>
    </row>
    <row r="11" spans="1:24" x14ac:dyDescent="0.35">
      <c r="A11">
        <v>100010</v>
      </c>
      <c r="B11" s="1">
        <v>46248</v>
      </c>
      <c r="C11" t="s">
        <v>55</v>
      </c>
      <c r="D11" t="s">
        <v>56</v>
      </c>
      <c r="E11" t="s">
        <v>43</v>
      </c>
      <c r="F11" t="s">
        <v>27</v>
      </c>
      <c r="G11" t="s">
        <v>28</v>
      </c>
      <c r="H11" t="s">
        <v>57</v>
      </c>
      <c r="I11" t="s">
        <v>30</v>
      </c>
      <c r="J11">
        <v>1</v>
      </c>
      <c r="K11">
        <v>165000</v>
      </c>
      <c r="L11">
        <v>0</v>
      </c>
      <c r="M11">
        <v>165000</v>
      </c>
      <c r="N11">
        <v>112000</v>
      </c>
      <c r="O11" t="s">
        <v>23</v>
      </c>
      <c r="P11" t="s">
        <v>58</v>
      </c>
      <c r="Q11">
        <f t="shared" si="0"/>
        <v>165000</v>
      </c>
      <c r="R11">
        <f t="shared" si="1"/>
        <v>0</v>
      </c>
      <c r="S11">
        <f t="shared" si="2"/>
        <v>112000</v>
      </c>
      <c r="T11">
        <f t="shared" si="3"/>
        <v>53000</v>
      </c>
      <c r="U11">
        <f t="shared" si="4"/>
        <v>13</v>
      </c>
      <c r="V11" t="b">
        <f t="shared" si="5"/>
        <v>0</v>
      </c>
      <c r="W11">
        <f t="shared" si="6"/>
        <v>11</v>
      </c>
      <c r="X11" t="b">
        <f t="shared" si="7"/>
        <v>0</v>
      </c>
    </row>
    <row r="12" spans="1:24" x14ac:dyDescent="0.35">
      <c r="A12">
        <v>100011</v>
      </c>
      <c r="B12" s="1">
        <v>46200</v>
      </c>
      <c r="C12" t="s">
        <v>25</v>
      </c>
      <c r="D12" t="s">
        <v>26</v>
      </c>
      <c r="E12" t="s">
        <v>43</v>
      </c>
      <c r="F12" t="s">
        <v>27</v>
      </c>
      <c r="G12" t="s">
        <v>33</v>
      </c>
      <c r="H12" t="s">
        <v>59</v>
      </c>
      <c r="I12" t="s">
        <v>30</v>
      </c>
      <c r="J12">
        <v>1</v>
      </c>
      <c r="K12">
        <v>32000</v>
      </c>
      <c r="L12">
        <v>0</v>
      </c>
      <c r="M12">
        <v>32000</v>
      </c>
      <c r="N12">
        <v>19000</v>
      </c>
      <c r="O12" t="s">
        <v>23</v>
      </c>
      <c r="P12" t="s">
        <v>58</v>
      </c>
      <c r="Q12">
        <f t="shared" si="0"/>
        <v>32000</v>
      </c>
      <c r="R12">
        <f t="shared" si="1"/>
        <v>0</v>
      </c>
      <c r="S12">
        <f t="shared" si="2"/>
        <v>19000</v>
      </c>
      <c r="T12">
        <f t="shared" si="3"/>
        <v>13000</v>
      </c>
      <c r="U12">
        <f t="shared" si="4"/>
        <v>5</v>
      </c>
      <c r="V12" t="b">
        <f t="shared" si="5"/>
        <v>0</v>
      </c>
      <c r="W12">
        <f t="shared" si="6"/>
        <v>11</v>
      </c>
      <c r="X12" t="b">
        <f t="shared" si="7"/>
        <v>0</v>
      </c>
    </row>
    <row r="13" spans="1:24" x14ac:dyDescent="0.35">
      <c r="A13">
        <v>100012</v>
      </c>
      <c r="B13" s="1">
        <v>46120</v>
      </c>
      <c r="C13" t="s">
        <v>35</v>
      </c>
      <c r="D13" t="s">
        <v>36</v>
      </c>
      <c r="E13" t="s">
        <v>37</v>
      </c>
      <c r="F13" t="s">
        <v>44</v>
      </c>
      <c r="G13" t="s">
        <v>60</v>
      </c>
      <c r="H13" t="s">
        <v>61</v>
      </c>
      <c r="I13" t="s">
        <v>22</v>
      </c>
      <c r="J13">
        <v>1</v>
      </c>
      <c r="K13">
        <v>9000</v>
      </c>
      <c r="L13">
        <v>0</v>
      </c>
      <c r="M13">
        <v>9000</v>
      </c>
      <c r="N13">
        <v>3500</v>
      </c>
      <c r="O13" t="s">
        <v>23</v>
      </c>
      <c r="P13" t="s">
        <v>58</v>
      </c>
      <c r="Q13">
        <f t="shared" si="0"/>
        <v>9000</v>
      </c>
      <c r="R13">
        <f t="shared" si="1"/>
        <v>0</v>
      </c>
      <c r="S13">
        <f t="shared" si="2"/>
        <v>3500</v>
      </c>
      <c r="T13">
        <f t="shared" si="3"/>
        <v>5500</v>
      </c>
      <c r="U13">
        <f t="shared" si="4"/>
        <v>4</v>
      </c>
      <c r="V13" t="b">
        <f t="shared" si="5"/>
        <v>0</v>
      </c>
      <c r="W13">
        <f t="shared" si="6"/>
        <v>11</v>
      </c>
      <c r="X13" t="b">
        <f t="shared" si="7"/>
        <v>0</v>
      </c>
    </row>
    <row r="14" spans="1:24" x14ac:dyDescent="0.35">
      <c r="A14">
        <v>100013</v>
      </c>
      <c r="B14" s="1">
        <v>46153</v>
      </c>
      <c r="C14" t="s">
        <v>50</v>
      </c>
      <c r="D14" t="s">
        <v>51</v>
      </c>
      <c r="E14" t="s">
        <v>43</v>
      </c>
      <c r="F14" t="s">
        <v>19</v>
      </c>
      <c r="G14" t="s">
        <v>62</v>
      </c>
      <c r="H14" t="s">
        <v>63</v>
      </c>
      <c r="I14" t="s">
        <v>22</v>
      </c>
      <c r="J14">
        <v>2</v>
      </c>
      <c r="K14">
        <v>24000</v>
      </c>
      <c r="L14">
        <v>0</v>
      </c>
      <c r="M14">
        <v>48000</v>
      </c>
      <c r="N14">
        <v>15000</v>
      </c>
      <c r="O14" t="s">
        <v>23</v>
      </c>
      <c r="P14" t="s">
        <v>64</v>
      </c>
      <c r="Q14">
        <f t="shared" si="0"/>
        <v>48000</v>
      </c>
      <c r="R14">
        <f t="shared" si="1"/>
        <v>0</v>
      </c>
      <c r="S14">
        <f t="shared" si="2"/>
        <v>30000</v>
      </c>
      <c r="T14">
        <f t="shared" si="3"/>
        <v>18000</v>
      </c>
      <c r="U14">
        <f t="shared" si="4"/>
        <v>6</v>
      </c>
      <c r="V14" t="b">
        <f t="shared" si="5"/>
        <v>0</v>
      </c>
      <c r="W14">
        <f t="shared" si="6"/>
        <v>4</v>
      </c>
      <c r="X14" t="b">
        <f t="shared" si="7"/>
        <v>0</v>
      </c>
    </row>
    <row r="15" spans="1:24" x14ac:dyDescent="0.35">
      <c r="A15">
        <v>100014</v>
      </c>
      <c r="B15" s="1">
        <v>46195</v>
      </c>
      <c r="C15" t="s">
        <v>16</v>
      </c>
      <c r="D15" t="s">
        <v>17</v>
      </c>
      <c r="E15" t="s">
        <v>18</v>
      </c>
      <c r="F15" t="s">
        <v>44</v>
      </c>
      <c r="G15" t="s">
        <v>65</v>
      </c>
      <c r="H15" t="s">
        <v>66</v>
      </c>
      <c r="I15" t="s">
        <v>30</v>
      </c>
      <c r="J15">
        <v>2</v>
      </c>
      <c r="K15">
        <v>28000</v>
      </c>
      <c r="L15">
        <v>0.25</v>
      </c>
      <c r="M15">
        <v>42000</v>
      </c>
      <c r="N15">
        <v>16000</v>
      </c>
      <c r="O15" t="s">
        <v>23</v>
      </c>
      <c r="P15" t="s">
        <v>54</v>
      </c>
      <c r="Q15">
        <f t="shared" si="0"/>
        <v>42000</v>
      </c>
      <c r="R15">
        <f t="shared" si="1"/>
        <v>0</v>
      </c>
      <c r="S15">
        <f t="shared" si="2"/>
        <v>32000</v>
      </c>
      <c r="T15">
        <f t="shared" si="3"/>
        <v>10000</v>
      </c>
      <c r="U15">
        <f t="shared" si="4"/>
        <v>5</v>
      </c>
      <c r="V15" t="b">
        <f t="shared" si="5"/>
        <v>0</v>
      </c>
      <c r="W15">
        <f t="shared" si="6"/>
        <v>11</v>
      </c>
      <c r="X15" t="b">
        <f t="shared" si="7"/>
        <v>0</v>
      </c>
    </row>
    <row r="16" spans="1:24" x14ac:dyDescent="0.35">
      <c r="A16">
        <v>100015</v>
      </c>
      <c r="B16" s="1">
        <v>46031</v>
      </c>
      <c r="C16" t="s">
        <v>55</v>
      </c>
      <c r="D16" t="s">
        <v>56</v>
      </c>
      <c r="E16" t="s">
        <v>43</v>
      </c>
      <c r="F16" t="s">
        <v>27</v>
      </c>
      <c r="G16" t="s">
        <v>28</v>
      </c>
      <c r="H16" t="s">
        <v>67</v>
      </c>
      <c r="I16" t="s">
        <v>22</v>
      </c>
      <c r="J16">
        <v>2</v>
      </c>
      <c r="K16">
        <v>165000</v>
      </c>
      <c r="L16">
        <v>0</v>
      </c>
      <c r="M16">
        <v>330000</v>
      </c>
      <c r="N16">
        <v>112000</v>
      </c>
      <c r="O16" t="s">
        <v>23</v>
      </c>
      <c r="P16" t="s">
        <v>40</v>
      </c>
      <c r="Q16">
        <f t="shared" si="0"/>
        <v>330000</v>
      </c>
      <c r="R16">
        <f t="shared" si="1"/>
        <v>0</v>
      </c>
      <c r="S16">
        <f t="shared" si="2"/>
        <v>224000</v>
      </c>
      <c r="T16">
        <f t="shared" si="3"/>
        <v>106000</v>
      </c>
      <c r="U16">
        <f t="shared" si="4"/>
        <v>13</v>
      </c>
      <c r="V16" t="b">
        <f t="shared" si="5"/>
        <v>0</v>
      </c>
      <c r="W16">
        <f t="shared" si="6"/>
        <v>11</v>
      </c>
      <c r="X16" t="b">
        <f t="shared" si="7"/>
        <v>0</v>
      </c>
    </row>
    <row r="17" spans="1:24" x14ac:dyDescent="0.35">
      <c r="A17">
        <v>100016</v>
      </c>
      <c r="B17" s="1">
        <v>46228</v>
      </c>
      <c r="C17" t="s">
        <v>42</v>
      </c>
      <c r="D17" t="s">
        <v>26</v>
      </c>
      <c r="E17" t="s">
        <v>37</v>
      </c>
      <c r="F17" t="s">
        <v>44</v>
      </c>
      <c r="G17" t="s">
        <v>45</v>
      </c>
      <c r="H17" t="s">
        <v>68</v>
      </c>
      <c r="I17" t="s">
        <v>22</v>
      </c>
      <c r="J17">
        <v>1</v>
      </c>
      <c r="K17">
        <v>6500</v>
      </c>
      <c r="L17">
        <v>0.1</v>
      </c>
      <c r="M17">
        <v>4680</v>
      </c>
      <c r="N17">
        <v>2200</v>
      </c>
      <c r="O17" t="s">
        <v>23</v>
      </c>
      <c r="P17" t="s">
        <v>31</v>
      </c>
      <c r="Q17">
        <f t="shared" si="0"/>
        <v>5850</v>
      </c>
      <c r="R17">
        <f t="shared" si="1"/>
        <v>-1170</v>
      </c>
      <c r="S17">
        <f t="shared" si="2"/>
        <v>2200</v>
      </c>
      <c r="T17">
        <f t="shared" si="3"/>
        <v>3650</v>
      </c>
      <c r="U17">
        <f t="shared" si="4"/>
        <v>5</v>
      </c>
      <c r="V17" t="b">
        <f t="shared" si="5"/>
        <v>0</v>
      </c>
      <c r="W17">
        <f t="shared" si="6"/>
        <v>11</v>
      </c>
      <c r="X17" t="b">
        <f t="shared" si="7"/>
        <v>0</v>
      </c>
    </row>
    <row r="18" spans="1:24" x14ac:dyDescent="0.35">
      <c r="A18">
        <v>100017</v>
      </c>
      <c r="B18" s="1">
        <v>46032</v>
      </c>
      <c r="C18" t="s">
        <v>35</v>
      </c>
      <c r="D18" t="s">
        <v>36</v>
      </c>
      <c r="E18" t="s">
        <v>18</v>
      </c>
      <c r="F18" t="s">
        <v>19</v>
      </c>
      <c r="G18" t="s">
        <v>52</v>
      </c>
      <c r="H18" t="s">
        <v>69</v>
      </c>
      <c r="I18" t="s">
        <v>22</v>
      </c>
      <c r="J18">
        <v>2</v>
      </c>
      <c r="K18">
        <v>42000</v>
      </c>
      <c r="L18">
        <v>0</v>
      </c>
      <c r="M18">
        <v>84000</v>
      </c>
      <c r="N18">
        <v>28000</v>
      </c>
      <c r="O18" t="s">
        <v>23</v>
      </c>
      <c r="P18" t="s">
        <v>64</v>
      </c>
      <c r="Q18">
        <f t="shared" si="0"/>
        <v>84000</v>
      </c>
      <c r="R18">
        <f t="shared" si="1"/>
        <v>0</v>
      </c>
      <c r="S18">
        <f t="shared" si="2"/>
        <v>56000</v>
      </c>
      <c r="T18">
        <f t="shared" si="3"/>
        <v>28000</v>
      </c>
      <c r="U18">
        <f t="shared" si="4"/>
        <v>4</v>
      </c>
      <c r="V18" t="b">
        <f t="shared" si="5"/>
        <v>0</v>
      </c>
      <c r="W18">
        <f t="shared" si="6"/>
        <v>4</v>
      </c>
      <c r="X18" t="b">
        <f t="shared" si="7"/>
        <v>0</v>
      </c>
    </row>
    <row r="19" spans="1:24" x14ac:dyDescent="0.35">
      <c r="A19">
        <v>100018</v>
      </c>
      <c r="B19" s="1">
        <v>46141</v>
      </c>
      <c r="C19" t="s">
        <v>55</v>
      </c>
      <c r="D19" t="s">
        <v>56</v>
      </c>
      <c r="E19" t="s">
        <v>43</v>
      </c>
      <c r="F19" t="s">
        <v>44</v>
      </c>
      <c r="G19" t="s">
        <v>45</v>
      </c>
      <c r="H19" t="s">
        <v>70</v>
      </c>
      <c r="I19" t="s">
        <v>30</v>
      </c>
      <c r="J19">
        <v>22</v>
      </c>
      <c r="K19">
        <v>6500</v>
      </c>
      <c r="L19">
        <v>0.15</v>
      </c>
      <c r="M19">
        <v>121550</v>
      </c>
      <c r="N19">
        <v>2200</v>
      </c>
      <c r="O19" t="s">
        <v>23</v>
      </c>
      <c r="P19" t="s">
        <v>31</v>
      </c>
      <c r="Q19">
        <f t="shared" si="0"/>
        <v>121550</v>
      </c>
      <c r="R19">
        <f t="shared" si="1"/>
        <v>0</v>
      </c>
      <c r="S19">
        <f t="shared" si="2"/>
        <v>48400</v>
      </c>
      <c r="T19">
        <f t="shared" si="3"/>
        <v>73150</v>
      </c>
      <c r="U19">
        <f t="shared" si="4"/>
        <v>13</v>
      </c>
      <c r="V19" t="b">
        <f t="shared" si="5"/>
        <v>0</v>
      </c>
      <c r="W19">
        <f t="shared" si="6"/>
        <v>11</v>
      </c>
      <c r="X19" t="b">
        <f t="shared" si="7"/>
        <v>0</v>
      </c>
    </row>
    <row r="20" spans="1:24" x14ac:dyDescent="0.35">
      <c r="A20">
        <v>100019</v>
      </c>
      <c r="B20" s="1">
        <v>46148</v>
      </c>
      <c r="C20" t="s">
        <v>25</v>
      </c>
      <c r="D20" t="s">
        <v>26</v>
      </c>
      <c r="E20" t="s">
        <v>43</v>
      </c>
      <c r="F20" t="s">
        <v>27</v>
      </c>
      <c r="G20" t="s">
        <v>38</v>
      </c>
      <c r="H20" t="s">
        <v>71</v>
      </c>
      <c r="I20" t="s">
        <v>30</v>
      </c>
      <c r="J20">
        <v>1</v>
      </c>
      <c r="K20">
        <v>26000</v>
      </c>
      <c r="L20">
        <v>0.15</v>
      </c>
      <c r="M20">
        <v>22100</v>
      </c>
      <c r="N20">
        <v>15000</v>
      </c>
      <c r="O20" t="s">
        <v>23</v>
      </c>
      <c r="P20" t="s">
        <v>47</v>
      </c>
      <c r="Q20">
        <f t="shared" si="0"/>
        <v>22100</v>
      </c>
      <c r="R20">
        <f t="shared" si="1"/>
        <v>0</v>
      </c>
      <c r="S20">
        <f t="shared" si="2"/>
        <v>15000</v>
      </c>
      <c r="T20">
        <f t="shared" si="3"/>
        <v>7100</v>
      </c>
      <c r="U20">
        <f t="shared" si="4"/>
        <v>5</v>
      </c>
      <c r="V20" t="b">
        <f t="shared" si="5"/>
        <v>0</v>
      </c>
      <c r="W20">
        <f t="shared" si="6"/>
        <v>11</v>
      </c>
      <c r="X20" t="b">
        <f t="shared" si="7"/>
        <v>0</v>
      </c>
    </row>
    <row r="21" spans="1:24" x14ac:dyDescent="0.35">
      <c r="A21">
        <v>100020</v>
      </c>
      <c r="B21" s="1">
        <v>46131</v>
      </c>
      <c r="C21" t="s">
        <v>16</v>
      </c>
      <c r="D21" t="s">
        <v>17</v>
      </c>
      <c r="E21" t="s">
        <v>43</v>
      </c>
      <c r="F21" t="s">
        <v>27</v>
      </c>
      <c r="G21" t="s">
        <v>38</v>
      </c>
      <c r="H21" t="s">
        <v>72</v>
      </c>
      <c r="I21" t="s">
        <v>30</v>
      </c>
      <c r="J21">
        <v>1</v>
      </c>
      <c r="K21">
        <v>26000</v>
      </c>
      <c r="L21">
        <v>0.25</v>
      </c>
      <c r="M21">
        <v>19500</v>
      </c>
      <c r="N21">
        <v>15000</v>
      </c>
      <c r="O21" t="s">
        <v>23</v>
      </c>
      <c r="P21" t="s">
        <v>64</v>
      </c>
      <c r="Q21">
        <f t="shared" si="0"/>
        <v>19500</v>
      </c>
      <c r="R21">
        <f t="shared" si="1"/>
        <v>0</v>
      </c>
      <c r="S21">
        <f t="shared" si="2"/>
        <v>15000</v>
      </c>
      <c r="T21">
        <f t="shared" si="3"/>
        <v>4500</v>
      </c>
      <c r="U21">
        <f t="shared" si="4"/>
        <v>5</v>
      </c>
      <c r="V21" t="b">
        <f t="shared" si="5"/>
        <v>0</v>
      </c>
      <c r="W21">
        <f t="shared" si="6"/>
        <v>11</v>
      </c>
      <c r="X21" t="b">
        <f t="shared" si="7"/>
        <v>0</v>
      </c>
    </row>
    <row r="22" spans="1:24" x14ac:dyDescent="0.35">
      <c r="A22">
        <v>100021</v>
      </c>
      <c r="B22" s="1">
        <v>46148</v>
      </c>
      <c r="C22" t="s">
        <v>16</v>
      </c>
      <c r="D22" t="s">
        <v>17</v>
      </c>
      <c r="E22" t="s">
        <v>18</v>
      </c>
      <c r="F22" t="s">
        <v>27</v>
      </c>
      <c r="G22" t="s">
        <v>38</v>
      </c>
      <c r="H22" t="s">
        <v>73</v>
      </c>
      <c r="I22" t="s">
        <v>22</v>
      </c>
      <c r="J22">
        <v>1</v>
      </c>
      <c r="K22">
        <v>26000</v>
      </c>
      <c r="L22">
        <v>0</v>
      </c>
      <c r="M22">
        <v>26000</v>
      </c>
      <c r="N22">
        <v>15000</v>
      </c>
      <c r="O22" t="s">
        <v>23</v>
      </c>
      <c r="P22" t="s">
        <v>31</v>
      </c>
      <c r="Q22">
        <f t="shared" si="0"/>
        <v>26000</v>
      </c>
      <c r="R22">
        <f t="shared" si="1"/>
        <v>0</v>
      </c>
      <c r="S22">
        <f t="shared" si="2"/>
        <v>15000</v>
      </c>
      <c r="T22">
        <f t="shared" si="3"/>
        <v>11000</v>
      </c>
      <c r="U22">
        <f t="shared" si="4"/>
        <v>5</v>
      </c>
      <c r="V22" t="b">
        <f t="shared" si="5"/>
        <v>0</v>
      </c>
      <c r="W22">
        <f t="shared" si="6"/>
        <v>11</v>
      </c>
      <c r="X22" t="b">
        <f t="shared" si="7"/>
        <v>0</v>
      </c>
    </row>
    <row r="23" spans="1:24" x14ac:dyDescent="0.35">
      <c r="A23">
        <v>100022</v>
      </c>
      <c r="B23" s="1">
        <v>46033</v>
      </c>
      <c r="C23" t="s">
        <v>50</v>
      </c>
      <c r="D23" t="s">
        <v>51</v>
      </c>
      <c r="E23" t="s">
        <v>18</v>
      </c>
      <c r="F23" t="s">
        <v>44</v>
      </c>
      <c r="G23" t="s">
        <v>65</v>
      </c>
      <c r="H23" t="s">
        <v>66</v>
      </c>
      <c r="I23" t="s">
        <v>22</v>
      </c>
      <c r="J23">
        <v>1</v>
      </c>
      <c r="K23">
        <v>28000</v>
      </c>
      <c r="L23">
        <v>0.05</v>
      </c>
      <c r="M23">
        <v>26600</v>
      </c>
      <c r="N23">
        <v>16000</v>
      </c>
      <c r="O23" t="s">
        <v>23</v>
      </c>
      <c r="P23" t="s">
        <v>47</v>
      </c>
      <c r="Q23">
        <f t="shared" si="0"/>
        <v>26600</v>
      </c>
      <c r="R23">
        <f t="shared" si="1"/>
        <v>0</v>
      </c>
      <c r="S23">
        <f t="shared" si="2"/>
        <v>16000</v>
      </c>
      <c r="T23">
        <f t="shared" si="3"/>
        <v>10600</v>
      </c>
      <c r="U23">
        <f t="shared" si="4"/>
        <v>6</v>
      </c>
      <c r="V23" t="b">
        <f t="shared" si="5"/>
        <v>0</v>
      </c>
      <c r="W23">
        <f t="shared" si="6"/>
        <v>11</v>
      </c>
      <c r="X23" t="b">
        <f t="shared" si="7"/>
        <v>0</v>
      </c>
    </row>
    <row r="24" spans="1:24" x14ac:dyDescent="0.35">
      <c r="A24">
        <v>100023</v>
      </c>
      <c r="B24" s="1">
        <v>46052</v>
      </c>
      <c r="C24" t="s">
        <v>32</v>
      </c>
      <c r="D24" t="s">
        <v>17</v>
      </c>
      <c r="E24" t="s">
        <v>37</v>
      </c>
      <c r="F24" t="s">
        <v>27</v>
      </c>
      <c r="G24" t="s">
        <v>33</v>
      </c>
      <c r="H24" t="s">
        <v>74</v>
      </c>
      <c r="I24" t="s">
        <v>30</v>
      </c>
      <c r="J24">
        <v>1</v>
      </c>
      <c r="K24">
        <v>32000</v>
      </c>
      <c r="L24">
        <v>0.15</v>
      </c>
      <c r="M24">
        <v>27200</v>
      </c>
      <c r="N24">
        <v>19000</v>
      </c>
      <c r="O24" t="s">
        <v>23</v>
      </c>
      <c r="P24" t="s">
        <v>58</v>
      </c>
      <c r="Q24">
        <f t="shared" si="0"/>
        <v>27200</v>
      </c>
      <c r="R24">
        <f t="shared" si="1"/>
        <v>0</v>
      </c>
      <c r="S24">
        <f t="shared" si="2"/>
        <v>19000</v>
      </c>
      <c r="T24">
        <f t="shared" si="3"/>
        <v>8200</v>
      </c>
      <c r="U24">
        <f t="shared" si="4"/>
        <v>5</v>
      </c>
      <c r="V24" t="b">
        <f t="shared" si="5"/>
        <v>0</v>
      </c>
      <c r="W24">
        <f t="shared" si="6"/>
        <v>11</v>
      </c>
      <c r="X24" t="b">
        <f t="shared" si="7"/>
        <v>0</v>
      </c>
    </row>
    <row r="25" spans="1:24" x14ac:dyDescent="0.35">
      <c r="A25">
        <v>100024</v>
      </c>
      <c r="B25" s="1">
        <v>46150</v>
      </c>
      <c r="C25" t="s">
        <v>32</v>
      </c>
      <c r="D25" t="s">
        <v>17</v>
      </c>
      <c r="E25" t="s">
        <v>43</v>
      </c>
      <c r="F25" t="s">
        <v>19</v>
      </c>
      <c r="G25" t="s">
        <v>20</v>
      </c>
      <c r="H25" t="s">
        <v>75</v>
      </c>
      <c r="I25" t="s">
        <v>22</v>
      </c>
      <c r="J25">
        <v>2</v>
      </c>
      <c r="K25">
        <v>58000</v>
      </c>
      <c r="L25">
        <v>0.2</v>
      </c>
      <c r="M25">
        <v>92800</v>
      </c>
      <c r="N25">
        <v>39000</v>
      </c>
      <c r="O25" t="s">
        <v>76</v>
      </c>
      <c r="P25" t="s">
        <v>40</v>
      </c>
      <c r="Q25">
        <f t="shared" si="0"/>
        <v>92800</v>
      </c>
      <c r="R25">
        <f t="shared" si="1"/>
        <v>0</v>
      </c>
      <c r="S25">
        <f t="shared" si="2"/>
        <v>78000</v>
      </c>
      <c r="T25">
        <f t="shared" si="3"/>
        <v>14800</v>
      </c>
      <c r="U25">
        <f t="shared" si="4"/>
        <v>5</v>
      </c>
      <c r="V25" t="b">
        <f t="shared" si="5"/>
        <v>0</v>
      </c>
      <c r="W25">
        <f t="shared" si="6"/>
        <v>4</v>
      </c>
      <c r="X25" t="b">
        <f t="shared" si="7"/>
        <v>0</v>
      </c>
    </row>
    <row r="26" spans="1:24" x14ac:dyDescent="0.35">
      <c r="A26">
        <v>100025</v>
      </c>
      <c r="B26" s="1">
        <v>46027</v>
      </c>
      <c r="C26" t="s">
        <v>35</v>
      </c>
      <c r="D26" t="s">
        <v>36</v>
      </c>
      <c r="E26" t="s">
        <v>43</v>
      </c>
      <c r="F26" t="s">
        <v>19</v>
      </c>
      <c r="G26" t="s">
        <v>20</v>
      </c>
      <c r="H26" t="s">
        <v>77</v>
      </c>
      <c r="I26" t="s">
        <v>30</v>
      </c>
      <c r="J26">
        <v>5</v>
      </c>
      <c r="K26">
        <v>58000</v>
      </c>
      <c r="L26">
        <v>0.05</v>
      </c>
      <c r="M26">
        <v>275500</v>
      </c>
      <c r="N26">
        <v>39000</v>
      </c>
      <c r="O26" t="s">
        <v>23</v>
      </c>
      <c r="P26" t="s">
        <v>58</v>
      </c>
      <c r="Q26">
        <f t="shared" si="0"/>
        <v>275500</v>
      </c>
      <c r="R26">
        <f t="shared" si="1"/>
        <v>0</v>
      </c>
      <c r="S26">
        <f t="shared" si="2"/>
        <v>195000</v>
      </c>
      <c r="T26">
        <f t="shared" si="3"/>
        <v>80500</v>
      </c>
      <c r="U26">
        <f t="shared" si="4"/>
        <v>4</v>
      </c>
      <c r="V26" t="b">
        <f t="shared" si="5"/>
        <v>0</v>
      </c>
      <c r="W26">
        <f t="shared" si="6"/>
        <v>4</v>
      </c>
      <c r="X26" t="b">
        <f t="shared" si="7"/>
        <v>0</v>
      </c>
    </row>
    <row r="27" spans="1:24" x14ac:dyDescent="0.35">
      <c r="A27">
        <v>100026</v>
      </c>
      <c r="B27" s="1">
        <v>46203</v>
      </c>
      <c r="C27" t="s">
        <v>50</v>
      </c>
      <c r="D27" t="s">
        <v>51</v>
      </c>
      <c r="E27" t="s">
        <v>43</v>
      </c>
      <c r="F27" t="s">
        <v>44</v>
      </c>
      <c r="G27" t="s">
        <v>60</v>
      </c>
      <c r="H27" t="s">
        <v>78</v>
      </c>
      <c r="I27" t="s">
        <v>30</v>
      </c>
      <c r="J27">
        <v>2</v>
      </c>
      <c r="K27">
        <v>9000</v>
      </c>
      <c r="L27">
        <v>0.1</v>
      </c>
      <c r="M27">
        <v>16200</v>
      </c>
      <c r="N27">
        <v>3500</v>
      </c>
      <c r="O27" t="s">
        <v>23</v>
      </c>
      <c r="P27" t="s">
        <v>24</v>
      </c>
      <c r="Q27">
        <f t="shared" si="0"/>
        <v>16200</v>
      </c>
      <c r="R27">
        <f t="shared" si="1"/>
        <v>0</v>
      </c>
      <c r="S27">
        <f t="shared" si="2"/>
        <v>7000</v>
      </c>
      <c r="T27">
        <f t="shared" si="3"/>
        <v>9200</v>
      </c>
      <c r="U27">
        <f t="shared" si="4"/>
        <v>6</v>
      </c>
      <c r="V27" t="b">
        <f t="shared" si="5"/>
        <v>0</v>
      </c>
      <c r="W27">
        <f t="shared" si="6"/>
        <v>11</v>
      </c>
      <c r="X27" t="b">
        <f t="shared" si="7"/>
        <v>0</v>
      </c>
    </row>
    <row r="28" spans="1:24" x14ac:dyDescent="0.35">
      <c r="A28">
        <v>100027</v>
      </c>
      <c r="B28" s="1">
        <v>46142</v>
      </c>
      <c r="C28" t="s">
        <v>35</v>
      </c>
      <c r="D28" t="s">
        <v>36</v>
      </c>
      <c r="E28" t="s">
        <v>18</v>
      </c>
      <c r="F28" t="s">
        <v>19</v>
      </c>
      <c r="G28" t="s">
        <v>20</v>
      </c>
      <c r="H28" t="s">
        <v>79</v>
      </c>
      <c r="I28" t="s">
        <v>22</v>
      </c>
      <c r="J28">
        <v>4</v>
      </c>
      <c r="K28">
        <v>58000</v>
      </c>
      <c r="L28">
        <v>0.05</v>
      </c>
      <c r="M28">
        <v>220400</v>
      </c>
      <c r="N28">
        <v>39000</v>
      </c>
      <c r="O28" t="s">
        <v>23</v>
      </c>
      <c r="P28" t="s">
        <v>58</v>
      </c>
      <c r="Q28">
        <f t="shared" si="0"/>
        <v>220400</v>
      </c>
      <c r="R28">
        <f t="shared" si="1"/>
        <v>0</v>
      </c>
      <c r="S28">
        <f t="shared" si="2"/>
        <v>156000</v>
      </c>
      <c r="T28">
        <f t="shared" si="3"/>
        <v>64400</v>
      </c>
      <c r="U28">
        <f t="shared" si="4"/>
        <v>4</v>
      </c>
      <c r="V28" t="b">
        <f t="shared" si="5"/>
        <v>0</v>
      </c>
      <c r="W28">
        <f t="shared" si="6"/>
        <v>4</v>
      </c>
      <c r="X28" t="b">
        <f t="shared" si="7"/>
        <v>0</v>
      </c>
    </row>
    <row r="29" spans="1:24" x14ac:dyDescent="0.35">
      <c r="A29">
        <v>100028</v>
      </c>
      <c r="B29" s="1">
        <v>46156</v>
      </c>
      <c r="C29" t="s">
        <v>32</v>
      </c>
      <c r="D29" t="s">
        <v>17</v>
      </c>
      <c r="E29" t="s">
        <v>37</v>
      </c>
      <c r="F29" t="s">
        <v>27</v>
      </c>
      <c r="G29" t="s">
        <v>38</v>
      </c>
      <c r="H29" t="s">
        <v>80</v>
      </c>
      <c r="I29" t="s">
        <v>30</v>
      </c>
      <c r="J29">
        <v>22</v>
      </c>
      <c r="K29">
        <v>26000</v>
      </c>
      <c r="L29">
        <v>0.25</v>
      </c>
      <c r="M29">
        <v>429000</v>
      </c>
      <c r="N29">
        <v>15000</v>
      </c>
      <c r="O29" t="s">
        <v>23</v>
      </c>
      <c r="P29" t="s">
        <v>47</v>
      </c>
      <c r="Q29">
        <f t="shared" si="0"/>
        <v>429000</v>
      </c>
      <c r="R29">
        <f t="shared" si="1"/>
        <v>0</v>
      </c>
      <c r="S29">
        <f t="shared" si="2"/>
        <v>330000</v>
      </c>
      <c r="T29">
        <f t="shared" si="3"/>
        <v>99000</v>
      </c>
      <c r="U29">
        <f t="shared" si="4"/>
        <v>5</v>
      </c>
      <c r="V29" t="b">
        <f t="shared" si="5"/>
        <v>0</v>
      </c>
      <c r="W29">
        <f t="shared" si="6"/>
        <v>11</v>
      </c>
      <c r="X29" t="b">
        <f t="shared" si="7"/>
        <v>0</v>
      </c>
    </row>
    <row r="30" spans="1:24" x14ac:dyDescent="0.35">
      <c r="A30">
        <v>100029</v>
      </c>
      <c r="B30" s="1">
        <v>46103</v>
      </c>
      <c r="C30" t="s">
        <v>32</v>
      </c>
      <c r="D30" t="s">
        <v>17</v>
      </c>
      <c r="E30" t="s">
        <v>43</v>
      </c>
      <c r="F30" t="s">
        <v>19</v>
      </c>
      <c r="G30" t="s">
        <v>20</v>
      </c>
      <c r="H30" t="s">
        <v>81</v>
      </c>
      <c r="I30" t="s">
        <v>30</v>
      </c>
      <c r="J30">
        <v>5</v>
      </c>
      <c r="K30">
        <v>58000</v>
      </c>
      <c r="L30">
        <v>0.1</v>
      </c>
      <c r="M30">
        <v>261000</v>
      </c>
      <c r="N30">
        <v>39000</v>
      </c>
      <c r="O30" t="s">
        <v>23</v>
      </c>
      <c r="P30" t="s">
        <v>24</v>
      </c>
      <c r="Q30">
        <f t="shared" si="0"/>
        <v>261000</v>
      </c>
      <c r="R30">
        <f t="shared" si="1"/>
        <v>0</v>
      </c>
      <c r="S30">
        <f t="shared" si="2"/>
        <v>195000</v>
      </c>
      <c r="T30">
        <f t="shared" si="3"/>
        <v>66000</v>
      </c>
      <c r="U30">
        <f t="shared" si="4"/>
        <v>5</v>
      </c>
      <c r="V30" t="b">
        <f t="shared" si="5"/>
        <v>0</v>
      </c>
      <c r="W30">
        <f t="shared" si="6"/>
        <v>4</v>
      </c>
      <c r="X30" t="b">
        <f t="shared" si="7"/>
        <v>0</v>
      </c>
    </row>
    <row r="31" spans="1:24" x14ac:dyDescent="0.35">
      <c r="A31">
        <v>100030</v>
      </c>
      <c r="B31" s="1">
        <v>46209</v>
      </c>
      <c r="C31" t="s">
        <v>35</v>
      </c>
      <c r="D31" t="s">
        <v>36</v>
      </c>
      <c r="E31" t="s">
        <v>37</v>
      </c>
      <c r="F31" t="s">
        <v>27</v>
      </c>
      <c r="G31" t="s">
        <v>38</v>
      </c>
      <c r="H31" t="s">
        <v>82</v>
      </c>
      <c r="I31" t="s">
        <v>22</v>
      </c>
      <c r="J31">
        <v>1</v>
      </c>
      <c r="K31">
        <v>26000</v>
      </c>
      <c r="L31">
        <v>0.05</v>
      </c>
      <c r="M31">
        <v>24700</v>
      </c>
      <c r="N31">
        <v>15000</v>
      </c>
      <c r="O31" t="s">
        <v>23</v>
      </c>
      <c r="P31" t="s">
        <v>58</v>
      </c>
      <c r="Q31">
        <f t="shared" si="0"/>
        <v>24700</v>
      </c>
      <c r="R31">
        <f t="shared" si="1"/>
        <v>0</v>
      </c>
      <c r="S31">
        <f t="shared" si="2"/>
        <v>15000</v>
      </c>
      <c r="T31">
        <f t="shared" si="3"/>
        <v>9700</v>
      </c>
      <c r="U31">
        <f t="shared" si="4"/>
        <v>4</v>
      </c>
      <c r="V31" t="b">
        <f t="shared" si="5"/>
        <v>0</v>
      </c>
      <c r="W31">
        <f t="shared" si="6"/>
        <v>11</v>
      </c>
      <c r="X31" t="b">
        <f t="shared" si="7"/>
        <v>0</v>
      </c>
    </row>
    <row r="32" spans="1:24" x14ac:dyDescent="0.35">
      <c r="A32">
        <v>100031</v>
      </c>
      <c r="B32" s="1">
        <v>46182</v>
      </c>
      <c r="C32" t="s">
        <v>32</v>
      </c>
      <c r="D32" t="s">
        <v>17</v>
      </c>
      <c r="E32" t="s">
        <v>43</v>
      </c>
      <c r="F32" t="s">
        <v>19</v>
      </c>
      <c r="G32" t="s">
        <v>20</v>
      </c>
      <c r="H32" t="s">
        <v>83</v>
      </c>
      <c r="I32" t="s">
        <v>22</v>
      </c>
      <c r="J32">
        <v>2</v>
      </c>
      <c r="K32">
        <v>58000</v>
      </c>
      <c r="L32">
        <v>0.15</v>
      </c>
      <c r="M32">
        <v>98600</v>
      </c>
      <c r="N32">
        <v>39000</v>
      </c>
      <c r="O32" t="s">
        <v>23</v>
      </c>
      <c r="P32" t="s">
        <v>84</v>
      </c>
      <c r="Q32">
        <f t="shared" si="0"/>
        <v>98600</v>
      </c>
      <c r="R32">
        <f t="shared" si="1"/>
        <v>0</v>
      </c>
      <c r="S32">
        <f t="shared" si="2"/>
        <v>78000</v>
      </c>
      <c r="T32">
        <f t="shared" si="3"/>
        <v>20600</v>
      </c>
      <c r="U32">
        <f t="shared" si="4"/>
        <v>5</v>
      </c>
      <c r="V32" t="b">
        <f t="shared" si="5"/>
        <v>0</v>
      </c>
      <c r="W32">
        <f t="shared" si="6"/>
        <v>4</v>
      </c>
      <c r="X32" t="b">
        <f t="shared" si="7"/>
        <v>0</v>
      </c>
    </row>
    <row r="33" spans="1:24" x14ac:dyDescent="0.35">
      <c r="A33">
        <v>100032</v>
      </c>
      <c r="B33" s="1">
        <v>46109</v>
      </c>
      <c r="C33" t="s">
        <v>55</v>
      </c>
      <c r="D33" t="s">
        <v>56</v>
      </c>
      <c r="E33" t="s">
        <v>37</v>
      </c>
      <c r="F33" t="s">
        <v>19</v>
      </c>
      <c r="G33" t="s">
        <v>62</v>
      </c>
      <c r="H33" t="s">
        <v>49</v>
      </c>
      <c r="I33" t="s">
        <v>22</v>
      </c>
      <c r="J33">
        <v>1</v>
      </c>
      <c r="K33">
        <v>24000</v>
      </c>
      <c r="L33">
        <v>0.05</v>
      </c>
      <c r="M33">
        <v>22800</v>
      </c>
      <c r="N33">
        <v>15000</v>
      </c>
      <c r="O33" t="s">
        <v>23</v>
      </c>
      <c r="P33" t="s">
        <v>31</v>
      </c>
      <c r="Q33">
        <f t="shared" si="0"/>
        <v>22800</v>
      </c>
      <c r="R33">
        <f t="shared" si="1"/>
        <v>0</v>
      </c>
      <c r="S33">
        <f t="shared" si="2"/>
        <v>15000</v>
      </c>
      <c r="T33">
        <f t="shared" si="3"/>
        <v>7800</v>
      </c>
      <c r="U33">
        <f t="shared" si="4"/>
        <v>13</v>
      </c>
      <c r="V33" t="b">
        <f t="shared" si="5"/>
        <v>0</v>
      </c>
      <c r="W33">
        <f t="shared" si="6"/>
        <v>4</v>
      </c>
      <c r="X33" t="b">
        <f t="shared" si="7"/>
        <v>0</v>
      </c>
    </row>
    <row r="34" spans="1:24" x14ac:dyDescent="0.35">
      <c r="A34">
        <v>100033</v>
      </c>
      <c r="B34" s="1">
        <v>46152</v>
      </c>
      <c r="C34" t="s">
        <v>25</v>
      </c>
      <c r="D34" t="s">
        <v>26</v>
      </c>
      <c r="E34" t="s">
        <v>43</v>
      </c>
      <c r="F34" t="s">
        <v>19</v>
      </c>
      <c r="G34" t="s">
        <v>20</v>
      </c>
      <c r="H34" t="s">
        <v>85</v>
      </c>
      <c r="I34" t="s">
        <v>22</v>
      </c>
      <c r="J34">
        <v>3</v>
      </c>
      <c r="K34">
        <v>58000</v>
      </c>
      <c r="L34">
        <v>0</v>
      </c>
      <c r="M34">
        <v>174000</v>
      </c>
      <c r="N34">
        <v>39000</v>
      </c>
      <c r="O34" t="s">
        <v>23</v>
      </c>
      <c r="P34" t="s">
        <v>84</v>
      </c>
      <c r="Q34">
        <f t="shared" si="0"/>
        <v>174000</v>
      </c>
      <c r="R34">
        <f t="shared" si="1"/>
        <v>0</v>
      </c>
      <c r="S34">
        <f t="shared" si="2"/>
        <v>117000</v>
      </c>
      <c r="T34">
        <f t="shared" si="3"/>
        <v>57000</v>
      </c>
      <c r="U34">
        <f t="shared" si="4"/>
        <v>5</v>
      </c>
      <c r="V34" t="b">
        <f t="shared" si="5"/>
        <v>0</v>
      </c>
      <c r="W34">
        <f t="shared" si="6"/>
        <v>4</v>
      </c>
      <c r="X34" t="b">
        <f t="shared" si="7"/>
        <v>0</v>
      </c>
    </row>
    <row r="35" spans="1:24" x14ac:dyDescent="0.35">
      <c r="A35">
        <v>100034</v>
      </c>
      <c r="B35" s="1">
        <v>46157</v>
      </c>
      <c r="C35" t="s">
        <v>55</v>
      </c>
      <c r="D35" t="s">
        <v>56</v>
      </c>
      <c r="E35" t="s">
        <v>43</v>
      </c>
      <c r="F35" t="s">
        <v>19</v>
      </c>
      <c r="G35" t="s">
        <v>20</v>
      </c>
      <c r="H35" t="s">
        <v>86</v>
      </c>
      <c r="I35" t="s">
        <v>30</v>
      </c>
      <c r="J35">
        <v>1</v>
      </c>
      <c r="K35">
        <v>58000</v>
      </c>
      <c r="L35">
        <v>0.15</v>
      </c>
      <c r="M35">
        <v>49300</v>
      </c>
      <c r="N35">
        <v>39000</v>
      </c>
      <c r="O35" t="s">
        <v>23</v>
      </c>
      <c r="P35" t="s">
        <v>47</v>
      </c>
      <c r="Q35">
        <f t="shared" si="0"/>
        <v>49300</v>
      </c>
      <c r="R35">
        <f t="shared" si="1"/>
        <v>0</v>
      </c>
      <c r="S35">
        <f t="shared" si="2"/>
        <v>39000</v>
      </c>
      <c r="T35">
        <f t="shared" si="3"/>
        <v>10300</v>
      </c>
      <c r="U35">
        <f t="shared" si="4"/>
        <v>13</v>
      </c>
      <c r="V35" t="b">
        <f t="shared" si="5"/>
        <v>0</v>
      </c>
      <c r="W35">
        <f t="shared" si="6"/>
        <v>4</v>
      </c>
      <c r="X35" t="b">
        <f t="shared" si="7"/>
        <v>0</v>
      </c>
    </row>
    <row r="36" spans="1:24" x14ac:dyDescent="0.35">
      <c r="A36">
        <v>100035</v>
      </c>
      <c r="B36" s="1">
        <v>46076</v>
      </c>
      <c r="C36" t="s">
        <v>35</v>
      </c>
      <c r="D36" t="s">
        <v>36</v>
      </c>
      <c r="E36" t="s">
        <v>43</v>
      </c>
      <c r="F36" t="s">
        <v>44</v>
      </c>
      <c r="G36" t="s">
        <v>65</v>
      </c>
      <c r="H36" t="s">
        <v>87</v>
      </c>
      <c r="I36" t="s">
        <v>30</v>
      </c>
      <c r="J36">
        <v>25</v>
      </c>
      <c r="K36">
        <v>28000</v>
      </c>
      <c r="L36">
        <v>0.05</v>
      </c>
      <c r="M36">
        <v>665000</v>
      </c>
      <c r="N36">
        <v>16000</v>
      </c>
      <c r="O36" t="s">
        <v>23</v>
      </c>
      <c r="P36" t="s">
        <v>64</v>
      </c>
      <c r="Q36">
        <f t="shared" si="0"/>
        <v>665000</v>
      </c>
      <c r="R36">
        <f t="shared" si="1"/>
        <v>0</v>
      </c>
      <c r="S36">
        <f t="shared" si="2"/>
        <v>400000</v>
      </c>
      <c r="T36">
        <f t="shared" si="3"/>
        <v>265000</v>
      </c>
      <c r="U36">
        <f t="shared" si="4"/>
        <v>4</v>
      </c>
      <c r="V36" t="b">
        <f t="shared" si="5"/>
        <v>0</v>
      </c>
      <c r="W36">
        <f t="shared" si="6"/>
        <v>11</v>
      </c>
      <c r="X36" t="b">
        <f t="shared" si="7"/>
        <v>0</v>
      </c>
    </row>
    <row r="37" spans="1:24" x14ac:dyDescent="0.35">
      <c r="A37">
        <v>100036</v>
      </c>
      <c r="B37" s="1">
        <v>46076</v>
      </c>
      <c r="C37" t="s">
        <v>35</v>
      </c>
      <c r="D37" t="s">
        <v>36</v>
      </c>
      <c r="E37" t="s">
        <v>43</v>
      </c>
      <c r="F37" t="s">
        <v>27</v>
      </c>
      <c r="G37" t="s">
        <v>33</v>
      </c>
      <c r="H37" t="s">
        <v>88</v>
      </c>
      <c r="I37" t="s">
        <v>22</v>
      </c>
      <c r="J37">
        <v>2</v>
      </c>
      <c r="K37">
        <v>32000</v>
      </c>
      <c r="L37">
        <v>0.05</v>
      </c>
      <c r="M37">
        <v>60800</v>
      </c>
      <c r="N37">
        <v>19000</v>
      </c>
      <c r="O37" t="s">
        <v>76</v>
      </c>
      <c r="P37" t="s">
        <v>47</v>
      </c>
      <c r="Q37">
        <f t="shared" si="0"/>
        <v>60800</v>
      </c>
      <c r="R37">
        <f t="shared" si="1"/>
        <v>0</v>
      </c>
      <c r="S37">
        <f t="shared" si="2"/>
        <v>38000</v>
      </c>
      <c r="T37">
        <f t="shared" si="3"/>
        <v>22800</v>
      </c>
      <c r="U37">
        <f t="shared" si="4"/>
        <v>4</v>
      </c>
      <c r="V37" t="b">
        <f t="shared" si="5"/>
        <v>0</v>
      </c>
      <c r="W37">
        <f t="shared" si="6"/>
        <v>11</v>
      </c>
      <c r="X37" t="b">
        <f t="shared" si="7"/>
        <v>0</v>
      </c>
    </row>
    <row r="38" spans="1:24" x14ac:dyDescent="0.35">
      <c r="A38">
        <v>100037</v>
      </c>
      <c r="B38" s="1">
        <v>46124</v>
      </c>
      <c r="C38" t="s">
        <v>32</v>
      </c>
      <c r="D38" t="s">
        <v>17</v>
      </c>
      <c r="E38" t="s">
        <v>43</v>
      </c>
      <c r="F38" t="s">
        <v>44</v>
      </c>
      <c r="G38" t="s">
        <v>65</v>
      </c>
      <c r="H38" t="s">
        <v>89</v>
      </c>
      <c r="I38" t="s">
        <v>22</v>
      </c>
      <c r="J38">
        <v>2</v>
      </c>
      <c r="K38">
        <v>28000</v>
      </c>
      <c r="L38">
        <v>0</v>
      </c>
      <c r="M38">
        <v>56000</v>
      </c>
      <c r="N38">
        <v>16000</v>
      </c>
      <c r="O38" t="s">
        <v>23</v>
      </c>
      <c r="P38" t="s">
        <v>40</v>
      </c>
      <c r="Q38">
        <f t="shared" si="0"/>
        <v>56000</v>
      </c>
      <c r="R38">
        <f t="shared" si="1"/>
        <v>0</v>
      </c>
      <c r="S38">
        <f t="shared" si="2"/>
        <v>32000</v>
      </c>
      <c r="T38">
        <f t="shared" si="3"/>
        <v>24000</v>
      </c>
      <c r="U38">
        <f t="shared" si="4"/>
        <v>5</v>
      </c>
      <c r="V38" t="b">
        <f t="shared" si="5"/>
        <v>0</v>
      </c>
      <c r="W38">
        <f t="shared" si="6"/>
        <v>11</v>
      </c>
      <c r="X38" t="b">
        <f t="shared" si="7"/>
        <v>0</v>
      </c>
    </row>
    <row r="39" spans="1:24" x14ac:dyDescent="0.35">
      <c r="A39">
        <v>100038</v>
      </c>
      <c r="B39" s="1">
        <v>46037</v>
      </c>
      <c r="C39" t="s">
        <v>35</v>
      </c>
      <c r="D39" t="s">
        <v>36</v>
      </c>
      <c r="E39" t="s">
        <v>37</v>
      </c>
      <c r="F39" t="s">
        <v>27</v>
      </c>
      <c r="G39" t="s">
        <v>33</v>
      </c>
      <c r="H39" t="s">
        <v>90</v>
      </c>
      <c r="I39" t="s">
        <v>30</v>
      </c>
      <c r="J39">
        <v>2</v>
      </c>
      <c r="K39">
        <v>32000</v>
      </c>
      <c r="L39">
        <v>0</v>
      </c>
      <c r="M39">
        <v>64000</v>
      </c>
      <c r="N39">
        <v>19000</v>
      </c>
      <c r="O39" t="s">
        <v>23</v>
      </c>
      <c r="P39" t="s">
        <v>84</v>
      </c>
      <c r="Q39">
        <f t="shared" si="0"/>
        <v>64000</v>
      </c>
      <c r="R39">
        <f t="shared" si="1"/>
        <v>0</v>
      </c>
      <c r="S39">
        <f t="shared" si="2"/>
        <v>38000</v>
      </c>
      <c r="T39">
        <f t="shared" si="3"/>
        <v>26000</v>
      </c>
      <c r="U39">
        <f t="shared" si="4"/>
        <v>4</v>
      </c>
      <c r="V39" t="b">
        <f t="shared" si="5"/>
        <v>0</v>
      </c>
      <c r="W39">
        <f t="shared" si="6"/>
        <v>11</v>
      </c>
      <c r="X39" t="b">
        <f t="shared" si="7"/>
        <v>0</v>
      </c>
    </row>
    <row r="40" spans="1:24" x14ac:dyDescent="0.35">
      <c r="A40">
        <v>100039</v>
      </c>
      <c r="B40" s="1">
        <v>46116</v>
      </c>
      <c r="C40" t="s">
        <v>16</v>
      </c>
      <c r="D40" t="s">
        <v>17</v>
      </c>
      <c r="E40" t="s">
        <v>37</v>
      </c>
      <c r="F40" t="s">
        <v>44</v>
      </c>
      <c r="G40" t="s">
        <v>45</v>
      </c>
      <c r="H40" t="s">
        <v>91</v>
      </c>
      <c r="I40" t="s">
        <v>22</v>
      </c>
      <c r="J40">
        <v>3</v>
      </c>
      <c r="K40">
        <v>6500</v>
      </c>
      <c r="L40">
        <v>0.1</v>
      </c>
      <c r="M40">
        <v>17550</v>
      </c>
      <c r="N40">
        <v>2200</v>
      </c>
      <c r="O40" t="s">
        <v>23</v>
      </c>
      <c r="P40" t="s">
        <v>40</v>
      </c>
      <c r="Q40">
        <f t="shared" si="0"/>
        <v>17550</v>
      </c>
      <c r="R40">
        <f t="shared" si="1"/>
        <v>0</v>
      </c>
      <c r="S40">
        <f t="shared" si="2"/>
        <v>6600</v>
      </c>
      <c r="T40">
        <f t="shared" si="3"/>
        <v>10950</v>
      </c>
      <c r="U40">
        <f t="shared" si="4"/>
        <v>5</v>
      </c>
      <c r="V40" t="b">
        <f t="shared" si="5"/>
        <v>0</v>
      </c>
      <c r="W40">
        <f t="shared" si="6"/>
        <v>11</v>
      </c>
      <c r="X40" t="b">
        <f t="shared" si="7"/>
        <v>0</v>
      </c>
    </row>
    <row r="41" spans="1:24" x14ac:dyDescent="0.35">
      <c r="A41">
        <v>100040</v>
      </c>
      <c r="B41" s="1">
        <v>46145</v>
      </c>
      <c r="C41" t="s">
        <v>32</v>
      </c>
      <c r="D41" t="s">
        <v>17</v>
      </c>
      <c r="E41" t="s">
        <v>18</v>
      </c>
      <c r="F41" t="s">
        <v>19</v>
      </c>
      <c r="G41" t="s">
        <v>20</v>
      </c>
      <c r="H41" t="s">
        <v>92</v>
      </c>
      <c r="I41" t="s">
        <v>30</v>
      </c>
      <c r="J41">
        <v>1</v>
      </c>
      <c r="K41">
        <v>58000</v>
      </c>
      <c r="L41">
        <v>0.05</v>
      </c>
      <c r="M41">
        <v>55100</v>
      </c>
      <c r="N41">
        <v>39000</v>
      </c>
      <c r="O41" t="s">
        <v>23</v>
      </c>
      <c r="P41" t="s">
        <v>31</v>
      </c>
      <c r="Q41">
        <f t="shared" si="0"/>
        <v>55100</v>
      </c>
      <c r="R41">
        <f t="shared" si="1"/>
        <v>0</v>
      </c>
      <c r="S41">
        <f t="shared" si="2"/>
        <v>39000</v>
      </c>
      <c r="T41">
        <f t="shared" si="3"/>
        <v>16100</v>
      </c>
      <c r="U41">
        <f t="shared" si="4"/>
        <v>5</v>
      </c>
      <c r="V41" t="b">
        <f t="shared" si="5"/>
        <v>0</v>
      </c>
      <c r="W41">
        <f t="shared" si="6"/>
        <v>4</v>
      </c>
      <c r="X41" t="b">
        <f t="shared" si="7"/>
        <v>0</v>
      </c>
    </row>
    <row r="42" spans="1:24" x14ac:dyDescent="0.35">
      <c r="A42">
        <v>100041</v>
      </c>
      <c r="B42" s="1">
        <v>46035</v>
      </c>
      <c r="C42" t="s">
        <v>55</v>
      </c>
      <c r="D42" t="s">
        <v>56</v>
      </c>
      <c r="E42" t="s">
        <v>18</v>
      </c>
      <c r="F42" t="s">
        <v>27</v>
      </c>
      <c r="G42" t="s">
        <v>33</v>
      </c>
      <c r="H42" t="s">
        <v>93</v>
      </c>
      <c r="I42" t="s">
        <v>30</v>
      </c>
      <c r="J42">
        <v>3</v>
      </c>
      <c r="K42">
        <v>32000</v>
      </c>
      <c r="L42">
        <v>0.1</v>
      </c>
      <c r="M42">
        <v>86400</v>
      </c>
      <c r="N42">
        <v>19000</v>
      </c>
      <c r="O42" t="s">
        <v>23</v>
      </c>
      <c r="P42" t="s">
        <v>47</v>
      </c>
      <c r="Q42">
        <f t="shared" si="0"/>
        <v>86400</v>
      </c>
      <c r="R42">
        <f t="shared" si="1"/>
        <v>0</v>
      </c>
      <c r="S42">
        <f t="shared" si="2"/>
        <v>57000</v>
      </c>
      <c r="T42">
        <f t="shared" si="3"/>
        <v>29400</v>
      </c>
      <c r="U42">
        <f t="shared" si="4"/>
        <v>13</v>
      </c>
      <c r="V42" t="b">
        <f t="shared" si="5"/>
        <v>0</v>
      </c>
      <c r="W42">
        <f t="shared" si="6"/>
        <v>11</v>
      </c>
      <c r="X42" t="b">
        <f t="shared" si="7"/>
        <v>0</v>
      </c>
    </row>
    <row r="43" spans="1:24" x14ac:dyDescent="0.35">
      <c r="A43">
        <v>100042</v>
      </c>
      <c r="B43" s="1">
        <v>46151</v>
      </c>
      <c r="C43" t="s">
        <v>50</v>
      </c>
      <c r="D43" t="s">
        <v>51</v>
      </c>
      <c r="E43" t="s">
        <v>18</v>
      </c>
      <c r="F43" t="s">
        <v>27</v>
      </c>
      <c r="G43" t="s">
        <v>28</v>
      </c>
      <c r="H43" t="s">
        <v>94</v>
      </c>
      <c r="I43" t="s">
        <v>30</v>
      </c>
      <c r="J43">
        <v>2</v>
      </c>
      <c r="K43">
        <v>165000</v>
      </c>
      <c r="L43">
        <v>0</v>
      </c>
      <c r="M43">
        <v>330000</v>
      </c>
      <c r="N43">
        <v>112000</v>
      </c>
      <c r="O43" t="s">
        <v>23</v>
      </c>
      <c r="P43" t="s">
        <v>24</v>
      </c>
      <c r="Q43">
        <f t="shared" si="0"/>
        <v>330000</v>
      </c>
      <c r="R43">
        <f t="shared" si="1"/>
        <v>0</v>
      </c>
      <c r="S43">
        <f t="shared" si="2"/>
        <v>224000</v>
      </c>
      <c r="T43">
        <f t="shared" si="3"/>
        <v>106000</v>
      </c>
      <c r="U43">
        <f t="shared" si="4"/>
        <v>6</v>
      </c>
      <c r="V43" t="b">
        <f t="shared" si="5"/>
        <v>0</v>
      </c>
      <c r="W43">
        <f t="shared" si="6"/>
        <v>11</v>
      </c>
      <c r="X43" t="b">
        <f t="shared" si="7"/>
        <v>0</v>
      </c>
    </row>
    <row r="44" spans="1:24" x14ac:dyDescent="0.35">
      <c r="A44">
        <v>100043</v>
      </c>
      <c r="B44" s="1">
        <v>46188</v>
      </c>
      <c r="C44" t="s">
        <v>50</v>
      </c>
      <c r="D44" t="s">
        <v>51</v>
      </c>
      <c r="E44" t="s">
        <v>43</v>
      </c>
      <c r="F44" t="s">
        <v>19</v>
      </c>
      <c r="G44" t="s">
        <v>62</v>
      </c>
      <c r="H44" t="s">
        <v>95</v>
      </c>
      <c r="I44" t="s">
        <v>30</v>
      </c>
      <c r="J44">
        <v>2</v>
      </c>
      <c r="K44">
        <v>24000</v>
      </c>
      <c r="L44">
        <v>0.15</v>
      </c>
      <c r="M44">
        <v>40800</v>
      </c>
      <c r="N44">
        <v>15000</v>
      </c>
      <c r="O44" t="s">
        <v>23</v>
      </c>
      <c r="P44" t="s">
        <v>47</v>
      </c>
      <c r="Q44">
        <f t="shared" si="0"/>
        <v>40800</v>
      </c>
      <c r="R44">
        <f t="shared" si="1"/>
        <v>0</v>
      </c>
      <c r="S44">
        <f t="shared" si="2"/>
        <v>30000</v>
      </c>
      <c r="T44">
        <f t="shared" si="3"/>
        <v>10800</v>
      </c>
      <c r="U44">
        <f t="shared" si="4"/>
        <v>6</v>
      </c>
      <c r="V44" t="b">
        <f t="shared" si="5"/>
        <v>0</v>
      </c>
      <c r="W44">
        <f t="shared" si="6"/>
        <v>4</v>
      </c>
      <c r="X44" t="b">
        <f t="shared" si="7"/>
        <v>0</v>
      </c>
    </row>
    <row r="45" spans="1:24" x14ac:dyDescent="0.35">
      <c r="A45">
        <v>100044</v>
      </c>
      <c r="B45" s="1">
        <v>46167</v>
      </c>
      <c r="C45" t="s">
        <v>32</v>
      </c>
      <c r="D45" t="s">
        <v>17</v>
      </c>
      <c r="E45" t="s">
        <v>37</v>
      </c>
      <c r="F45" t="s">
        <v>19</v>
      </c>
      <c r="G45" t="s">
        <v>62</v>
      </c>
      <c r="H45" t="s">
        <v>96</v>
      </c>
      <c r="I45" t="s">
        <v>30</v>
      </c>
      <c r="J45">
        <v>1</v>
      </c>
      <c r="K45">
        <v>24000</v>
      </c>
      <c r="L45">
        <v>0.2</v>
      </c>
      <c r="M45">
        <v>19200</v>
      </c>
      <c r="N45">
        <v>15000</v>
      </c>
      <c r="O45" t="s">
        <v>23</v>
      </c>
      <c r="P45" t="s">
        <v>54</v>
      </c>
      <c r="Q45">
        <f t="shared" si="0"/>
        <v>19200</v>
      </c>
      <c r="R45">
        <f t="shared" si="1"/>
        <v>0</v>
      </c>
      <c r="S45">
        <f t="shared" si="2"/>
        <v>15000</v>
      </c>
      <c r="T45">
        <f t="shared" si="3"/>
        <v>4200</v>
      </c>
      <c r="U45">
        <f t="shared" si="4"/>
        <v>5</v>
      </c>
      <c r="V45" t="b">
        <f t="shared" si="5"/>
        <v>0</v>
      </c>
      <c r="W45">
        <f t="shared" si="6"/>
        <v>4</v>
      </c>
      <c r="X45" t="b">
        <f t="shared" si="7"/>
        <v>0</v>
      </c>
    </row>
    <row r="46" spans="1:24" x14ac:dyDescent="0.35">
      <c r="A46">
        <v>100045</v>
      </c>
      <c r="B46" s="1">
        <v>46029</v>
      </c>
      <c r="C46" t="s">
        <v>42</v>
      </c>
      <c r="D46" t="s">
        <v>26</v>
      </c>
      <c r="E46" t="s">
        <v>37</v>
      </c>
      <c r="F46" t="s">
        <v>27</v>
      </c>
      <c r="G46" t="s">
        <v>33</v>
      </c>
      <c r="H46" t="s">
        <v>97</v>
      </c>
      <c r="I46" t="s">
        <v>30</v>
      </c>
      <c r="J46">
        <v>1</v>
      </c>
      <c r="K46">
        <v>32000</v>
      </c>
      <c r="L46">
        <v>0</v>
      </c>
      <c r="M46">
        <v>32000</v>
      </c>
      <c r="N46">
        <v>19000</v>
      </c>
      <c r="O46" t="s">
        <v>76</v>
      </c>
      <c r="P46" t="s">
        <v>54</v>
      </c>
      <c r="Q46">
        <f t="shared" si="0"/>
        <v>32000</v>
      </c>
      <c r="R46">
        <f t="shared" si="1"/>
        <v>0</v>
      </c>
      <c r="S46">
        <f t="shared" si="2"/>
        <v>19000</v>
      </c>
      <c r="T46">
        <f t="shared" si="3"/>
        <v>13000</v>
      </c>
      <c r="U46">
        <f t="shared" si="4"/>
        <v>5</v>
      </c>
      <c r="V46" t="b">
        <f t="shared" si="5"/>
        <v>0</v>
      </c>
      <c r="W46">
        <f t="shared" si="6"/>
        <v>11</v>
      </c>
      <c r="X46" t="b">
        <f t="shared" si="7"/>
        <v>0</v>
      </c>
    </row>
    <row r="47" spans="1:24" x14ac:dyDescent="0.35">
      <c r="A47">
        <v>100046</v>
      </c>
      <c r="B47" s="1">
        <v>46145</v>
      </c>
      <c r="C47" t="s">
        <v>35</v>
      </c>
      <c r="D47" t="s">
        <v>36</v>
      </c>
      <c r="E47" t="s">
        <v>43</v>
      </c>
      <c r="F47" t="s">
        <v>19</v>
      </c>
      <c r="G47" t="s">
        <v>62</v>
      </c>
      <c r="H47" t="s">
        <v>98</v>
      </c>
      <c r="I47" t="s">
        <v>30</v>
      </c>
      <c r="J47">
        <v>3</v>
      </c>
      <c r="K47">
        <v>24000</v>
      </c>
      <c r="L47">
        <v>0.05</v>
      </c>
      <c r="M47">
        <v>68400</v>
      </c>
      <c r="N47">
        <v>15000</v>
      </c>
      <c r="O47" t="s">
        <v>23</v>
      </c>
      <c r="P47" t="s">
        <v>54</v>
      </c>
      <c r="Q47">
        <f t="shared" si="0"/>
        <v>68400</v>
      </c>
      <c r="R47">
        <f t="shared" si="1"/>
        <v>0</v>
      </c>
      <c r="S47">
        <f t="shared" si="2"/>
        <v>45000</v>
      </c>
      <c r="T47">
        <f t="shared" si="3"/>
        <v>23400</v>
      </c>
      <c r="U47">
        <f t="shared" si="4"/>
        <v>4</v>
      </c>
      <c r="V47" t="b">
        <f t="shared" si="5"/>
        <v>0</v>
      </c>
      <c r="W47">
        <f t="shared" si="6"/>
        <v>4</v>
      </c>
      <c r="X47" t="b">
        <f t="shared" si="7"/>
        <v>0</v>
      </c>
    </row>
    <row r="48" spans="1:24" x14ac:dyDescent="0.35">
      <c r="A48">
        <v>100047</v>
      </c>
      <c r="B48" s="1">
        <v>46132</v>
      </c>
      <c r="C48" t="s">
        <v>25</v>
      </c>
      <c r="D48" t="s">
        <v>26</v>
      </c>
      <c r="E48" t="s">
        <v>43</v>
      </c>
      <c r="F48" t="s">
        <v>19</v>
      </c>
      <c r="G48" t="s">
        <v>20</v>
      </c>
      <c r="H48" t="s">
        <v>99</v>
      </c>
      <c r="I48" t="s">
        <v>30</v>
      </c>
      <c r="J48">
        <v>4</v>
      </c>
      <c r="K48">
        <v>58000</v>
      </c>
      <c r="L48">
        <v>0</v>
      </c>
      <c r="M48">
        <v>232000</v>
      </c>
      <c r="N48">
        <v>39000</v>
      </c>
      <c r="O48" t="s">
        <v>23</v>
      </c>
      <c r="P48" t="s">
        <v>84</v>
      </c>
      <c r="Q48">
        <f t="shared" si="0"/>
        <v>232000</v>
      </c>
      <c r="R48">
        <f t="shared" si="1"/>
        <v>0</v>
      </c>
      <c r="S48">
        <f t="shared" si="2"/>
        <v>156000</v>
      </c>
      <c r="T48">
        <f t="shared" si="3"/>
        <v>76000</v>
      </c>
      <c r="U48">
        <f t="shared" si="4"/>
        <v>5</v>
      </c>
      <c r="V48" t="b">
        <f t="shared" si="5"/>
        <v>0</v>
      </c>
      <c r="W48">
        <f t="shared" si="6"/>
        <v>4</v>
      </c>
      <c r="X48" t="b">
        <f t="shared" si="7"/>
        <v>0</v>
      </c>
    </row>
    <row r="49" spans="1:24" x14ac:dyDescent="0.35">
      <c r="A49">
        <v>100048</v>
      </c>
      <c r="B49" s="1">
        <v>46039</v>
      </c>
      <c r="C49" t="s">
        <v>35</v>
      </c>
      <c r="D49" t="s">
        <v>36</v>
      </c>
      <c r="E49" t="s">
        <v>43</v>
      </c>
      <c r="F49" t="s">
        <v>27</v>
      </c>
      <c r="G49" t="s">
        <v>38</v>
      </c>
      <c r="H49" t="s">
        <v>100</v>
      </c>
      <c r="I49" t="s">
        <v>22</v>
      </c>
      <c r="J49">
        <v>2</v>
      </c>
      <c r="K49">
        <v>26000</v>
      </c>
      <c r="L49">
        <v>0.05</v>
      </c>
      <c r="M49">
        <v>49400</v>
      </c>
      <c r="N49">
        <v>15000</v>
      </c>
      <c r="O49" t="s">
        <v>23</v>
      </c>
      <c r="P49" t="s">
        <v>40</v>
      </c>
      <c r="Q49">
        <f t="shared" si="0"/>
        <v>49400</v>
      </c>
      <c r="R49">
        <f t="shared" si="1"/>
        <v>0</v>
      </c>
      <c r="S49">
        <f t="shared" si="2"/>
        <v>30000</v>
      </c>
      <c r="T49">
        <f t="shared" si="3"/>
        <v>19400</v>
      </c>
      <c r="U49">
        <f t="shared" si="4"/>
        <v>4</v>
      </c>
      <c r="V49" t="b">
        <f t="shared" si="5"/>
        <v>0</v>
      </c>
      <c r="W49">
        <f t="shared" si="6"/>
        <v>11</v>
      </c>
      <c r="X49" t="b">
        <f t="shared" si="7"/>
        <v>0</v>
      </c>
    </row>
    <row r="50" spans="1:24" x14ac:dyDescent="0.35">
      <c r="A50">
        <v>100049</v>
      </c>
      <c r="B50" s="1">
        <v>46182</v>
      </c>
      <c r="C50" t="s">
        <v>50</v>
      </c>
      <c r="D50" t="s">
        <v>51</v>
      </c>
      <c r="E50" t="s">
        <v>43</v>
      </c>
      <c r="F50" t="s">
        <v>44</v>
      </c>
      <c r="G50" t="s">
        <v>45</v>
      </c>
      <c r="H50" t="s">
        <v>85</v>
      </c>
      <c r="I50" t="s">
        <v>22</v>
      </c>
      <c r="J50">
        <v>5</v>
      </c>
      <c r="K50">
        <v>6500</v>
      </c>
      <c r="L50">
        <v>0.05</v>
      </c>
      <c r="M50">
        <v>30875</v>
      </c>
      <c r="N50">
        <v>2200</v>
      </c>
      <c r="O50" t="s">
        <v>23</v>
      </c>
      <c r="P50" t="s">
        <v>84</v>
      </c>
      <c r="Q50">
        <f t="shared" si="0"/>
        <v>30875</v>
      </c>
      <c r="R50">
        <f t="shared" si="1"/>
        <v>0</v>
      </c>
      <c r="S50">
        <f t="shared" si="2"/>
        <v>11000</v>
      </c>
      <c r="T50">
        <f t="shared" si="3"/>
        <v>19875</v>
      </c>
      <c r="U50">
        <f t="shared" si="4"/>
        <v>6</v>
      </c>
      <c r="V50" t="b">
        <f t="shared" si="5"/>
        <v>0</v>
      </c>
      <c r="W50">
        <f t="shared" si="6"/>
        <v>11</v>
      </c>
      <c r="X50" t="b">
        <f t="shared" si="7"/>
        <v>0</v>
      </c>
    </row>
    <row r="51" spans="1:24" x14ac:dyDescent="0.35">
      <c r="A51">
        <v>100050</v>
      </c>
      <c r="B51" s="1">
        <v>46056</v>
      </c>
      <c r="C51" t="s">
        <v>35</v>
      </c>
      <c r="D51" t="s">
        <v>36</v>
      </c>
      <c r="E51" t="s">
        <v>43</v>
      </c>
      <c r="F51" t="s">
        <v>44</v>
      </c>
      <c r="G51" t="s">
        <v>60</v>
      </c>
      <c r="H51" t="s">
        <v>101</v>
      </c>
      <c r="I51" t="s">
        <v>30</v>
      </c>
      <c r="J51">
        <v>3</v>
      </c>
      <c r="K51">
        <v>9000</v>
      </c>
      <c r="L51">
        <v>0</v>
      </c>
      <c r="M51">
        <v>27000</v>
      </c>
      <c r="N51">
        <v>3500</v>
      </c>
      <c r="O51" t="s">
        <v>23</v>
      </c>
      <c r="P51" t="s">
        <v>24</v>
      </c>
      <c r="Q51">
        <f t="shared" si="0"/>
        <v>27000</v>
      </c>
      <c r="R51">
        <f t="shared" si="1"/>
        <v>0</v>
      </c>
      <c r="S51">
        <f t="shared" si="2"/>
        <v>10500</v>
      </c>
      <c r="T51">
        <f t="shared" si="3"/>
        <v>16500</v>
      </c>
      <c r="U51">
        <f t="shared" si="4"/>
        <v>4</v>
      </c>
      <c r="V51" t="b">
        <f t="shared" si="5"/>
        <v>0</v>
      </c>
      <c r="W51">
        <f t="shared" si="6"/>
        <v>11</v>
      </c>
      <c r="X51" t="b">
        <f t="shared" si="7"/>
        <v>0</v>
      </c>
    </row>
    <row r="52" spans="1:24" x14ac:dyDescent="0.35">
      <c r="A52">
        <v>100051</v>
      </c>
      <c r="B52" s="1">
        <v>46035</v>
      </c>
      <c r="C52" t="s">
        <v>16</v>
      </c>
      <c r="D52" t="s">
        <v>17</v>
      </c>
      <c r="E52" t="s">
        <v>37</v>
      </c>
      <c r="F52" t="s">
        <v>19</v>
      </c>
      <c r="G52" t="s">
        <v>52</v>
      </c>
      <c r="H52" t="s">
        <v>53</v>
      </c>
      <c r="I52" t="s">
        <v>22</v>
      </c>
      <c r="J52">
        <v>2</v>
      </c>
      <c r="K52">
        <v>42000</v>
      </c>
      <c r="L52">
        <v>0.1</v>
      </c>
      <c r="M52">
        <v>75600</v>
      </c>
      <c r="N52">
        <v>28000</v>
      </c>
      <c r="O52" t="s">
        <v>23</v>
      </c>
      <c r="P52" t="s">
        <v>24</v>
      </c>
      <c r="Q52">
        <f t="shared" si="0"/>
        <v>75600</v>
      </c>
      <c r="R52">
        <f t="shared" si="1"/>
        <v>0</v>
      </c>
      <c r="S52">
        <f t="shared" si="2"/>
        <v>56000</v>
      </c>
      <c r="T52">
        <f t="shared" si="3"/>
        <v>19600</v>
      </c>
      <c r="U52">
        <f t="shared" si="4"/>
        <v>5</v>
      </c>
      <c r="V52" t="b">
        <f t="shared" si="5"/>
        <v>0</v>
      </c>
      <c r="W52">
        <f t="shared" si="6"/>
        <v>4</v>
      </c>
      <c r="X52" t="b">
        <f t="shared" si="7"/>
        <v>0</v>
      </c>
    </row>
    <row r="53" spans="1:24" x14ac:dyDescent="0.35">
      <c r="A53">
        <v>100052</v>
      </c>
      <c r="B53" s="1">
        <v>46033</v>
      </c>
      <c r="C53" t="s">
        <v>55</v>
      </c>
      <c r="D53" t="s">
        <v>56</v>
      </c>
      <c r="E53" t="s">
        <v>18</v>
      </c>
      <c r="F53" t="s">
        <v>27</v>
      </c>
      <c r="G53" t="s">
        <v>28</v>
      </c>
      <c r="H53" t="s">
        <v>102</v>
      </c>
      <c r="I53" t="s">
        <v>30</v>
      </c>
      <c r="J53">
        <v>4</v>
      </c>
      <c r="K53">
        <v>165000</v>
      </c>
      <c r="L53">
        <v>0</v>
      </c>
      <c r="M53">
        <v>660000</v>
      </c>
      <c r="N53">
        <v>112000</v>
      </c>
      <c r="O53" t="s">
        <v>23</v>
      </c>
      <c r="P53" t="s">
        <v>24</v>
      </c>
      <c r="Q53">
        <f t="shared" si="0"/>
        <v>660000</v>
      </c>
      <c r="R53">
        <f t="shared" si="1"/>
        <v>0</v>
      </c>
      <c r="S53">
        <f t="shared" si="2"/>
        <v>448000</v>
      </c>
      <c r="T53">
        <f t="shared" si="3"/>
        <v>212000</v>
      </c>
      <c r="U53">
        <f t="shared" si="4"/>
        <v>13</v>
      </c>
      <c r="V53" t="b">
        <f t="shared" si="5"/>
        <v>0</v>
      </c>
      <c r="W53">
        <f t="shared" si="6"/>
        <v>11</v>
      </c>
      <c r="X53" t="b">
        <f t="shared" si="7"/>
        <v>0</v>
      </c>
    </row>
    <row r="54" spans="1:24" x14ac:dyDescent="0.35">
      <c r="A54">
        <v>100053</v>
      </c>
      <c r="B54" s="1">
        <v>46180</v>
      </c>
      <c r="C54" t="s">
        <v>35</v>
      </c>
      <c r="D54" t="s">
        <v>36</v>
      </c>
      <c r="E54" t="s">
        <v>43</v>
      </c>
      <c r="F54" t="s">
        <v>44</v>
      </c>
      <c r="G54" t="s">
        <v>45</v>
      </c>
      <c r="H54" t="s">
        <v>103</v>
      </c>
      <c r="I54" t="s">
        <v>30</v>
      </c>
      <c r="J54">
        <v>4</v>
      </c>
      <c r="K54">
        <v>6500</v>
      </c>
      <c r="L54">
        <v>0</v>
      </c>
      <c r="M54">
        <v>26000</v>
      </c>
      <c r="N54">
        <v>2200</v>
      </c>
      <c r="O54" t="s">
        <v>23</v>
      </c>
      <c r="P54" t="s">
        <v>64</v>
      </c>
      <c r="Q54">
        <f t="shared" si="0"/>
        <v>26000</v>
      </c>
      <c r="R54">
        <f t="shared" si="1"/>
        <v>0</v>
      </c>
      <c r="S54">
        <f t="shared" si="2"/>
        <v>8800</v>
      </c>
      <c r="T54">
        <f t="shared" si="3"/>
        <v>17200</v>
      </c>
      <c r="U54">
        <f t="shared" si="4"/>
        <v>4</v>
      </c>
      <c r="V54" t="b">
        <f t="shared" si="5"/>
        <v>0</v>
      </c>
      <c r="W54">
        <f t="shared" si="6"/>
        <v>11</v>
      </c>
      <c r="X54" t="b">
        <f t="shared" si="7"/>
        <v>0</v>
      </c>
    </row>
    <row r="55" spans="1:24" x14ac:dyDescent="0.35">
      <c r="A55">
        <v>100054</v>
      </c>
      <c r="B55" s="1">
        <v>46140</v>
      </c>
      <c r="C55" t="s">
        <v>32</v>
      </c>
      <c r="D55" t="s">
        <v>17</v>
      </c>
      <c r="E55" t="s">
        <v>43</v>
      </c>
      <c r="F55" t="s">
        <v>44</v>
      </c>
      <c r="G55" t="s">
        <v>60</v>
      </c>
      <c r="H55" t="s">
        <v>104</v>
      </c>
      <c r="I55" t="s">
        <v>30</v>
      </c>
      <c r="J55">
        <v>1</v>
      </c>
      <c r="K55">
        <v>9000</v>
      </c>
      <c r="L55">
        <v>0.1</v>
      </c>
      <c r="M55">
        <v>8100</v>
      </c>
      <c r="N55">
        <v>3500</v>
      </c>
      <c r="O55" t="s">
        <v>23</v>
      </c>
      <c r="P55" t="s">
        <v>84</v>
      </c>
      <c r="Q55">
        <f t="shared" si="0"/>
        <v>8100</v>
      </c>
      <c r="R55">
        <f t="shared" si="1"/>
        <v>0</v>
      </c>
      <c r="S55">
        <f t="shared" si="2"/>
        <v>3500</v>
      </c>
      <c r="T55">
        <f t="shared" si="3"/>
        <v>4600</v>
      </c>
      <c r="U55">
        <f t="shared" si="4"/>
        <v>5</v>
      </c>
      <c r="V55" t="b">
        <f t="shared" si="5"/>
        <v>0</v>
      </c>
      <c r="W55">
        <f t="shared" si="6"/>
        <v>11</v>
      </c>
      <c r="X55" t="b">
        <f t="shared" si="7"/>
        <v>0</v>
      </c>
    </row>
    <row r="56" spans="1:24" x14ac:dyDescent="0.35">
      <c r="A56">
        <v>100055</v>
      </c>
      <c r="B56" s="1">
        <v>46178</v>
      </c>
      <c r="C56" t="s">
        <v>35</v>
      </c>
      <c r="D56" t="s">
        <v>36</v>
      </c>
      <c r="E56" t="s">
        <v>43</v>
      </c>
      <c r="F56" t="s">
        <v>27</v>
      </c>
      <c r="G56" t="s">
        <v>38</v>
      </c>
      <c r="H56" t="s">
        <v>105</v>
      </c>
      <c r="I56" t="s">
        <v>22</v>
      </c>
      <c r="J56">
        <v>2</v>
      </c>
      <c r="K56">
        <v>26000</v>
      </c>
      <c r="L56">
        <v>0.15</v>
      </c>
      <c r="M56">
        <v>44200</v>
      </c>
      <c r="N56">
        <v>15000</v>
      </c>
      <c r="O56" t="s">
        <v>23</v>
      </c>
      <c r="P56" t="s">
        <v>47</v>
      </c>
      <c r="Q56">
        <f t="shared" si="0"/>
        <v>44200</v>
      </c>
      <c r="R56">
        <f t="shared" si="1"/>
        <v>0</v>
      </c>
      <c r="S56">
        <f t="shared" si="2"/>
        <v>30000</v>
      </c>
      <c r="T56">
        <f t="shared" si="3"/>
        <v>14200</v>
      </c>
      <c r="U56">
        <f t="shared" si="4"/>
        <v>4</v>
      </c>
      <c r="V56" t="b">
        <f t="shared" si="5"/>
        <v>0</v>
      </c>
      <c r="W56">
        <f t="shared" si="6"/>
        <v>11</v>
      </c>
      <c r="X56" t="b">
        <f t="shared" si="7"/>
        <v>0</v>
      </c>
    </row>
    <row r="57" spans="1:24" x14ac:dyDescent="0.35">
      <c r="A57">
        <v>100056</v>
      </c>
      <c r="B57" s="1">
        <v>46191</v>
      </c>
      <c r="C57" t="s">
        <v>35</v>
      </c>
      <c r="D57" t="s">
        <v>36</v>
      </c>
      <c r="E57" t="s">
        <v>43</v>
      </c>
      <c r="F57" t="s">
        <v>44</v>
      </c>
      <c r="G57" t="s">
        <v>60</v>
      </c>
      <c r="H57" t="s">
        <v>106</v>
      </c>
      <c r="I57" t="s">
        <v>22</v>
      </c>
      <c r="J57">
        <v>1</v>
      </c>
      <c r="K57">
        <v>9000</v>
      </c>
      <c r="L57">
        <v>0.05</v>
      </c>
      <c r="M57">
        <v>6840</v>
      </c>
      <c r="N57">
        <v>3500</v>
      </c>
      <c r="O57" t="s">
        <v>23</v>
      </c>
      <c r="P57" t="s">
        <v>47</v>
      </c>
      <c r="Q57">
        <f t="shared" si="0"/>
        <v>8550</v>
      </c>
      <c r="R57">
        <f t="shared" si="1"/>
        <v>-1710</v>
      </c>
      <c r="S57">
        <f t="shared" si="2"/>
        <v>3500</v>
      </c>
      <c r="T57">
        <f t="shared" si="3"/>
        <v>5050</v>
      </c>
      <c r="U57">
        <f t="shared" si="4"/>
        <v>4</v>
      </c>
      <c r="V57" t="b">
        <f t="shared" si="5"/>
        <v>0</v>
      </c>
      <c r="W57">
        <f t="shared" si="6"/>
        <v>11</v>
      </c>
      <c r="X57" t="b">
        <f t="shared" si="7"/>
        <v>0</v>
      </c>
    </row>
    <row r="58" spans="1:24" x14ac:dyDescent="0.35">
      <c r="A58">
        <v>100057</v>
      </c>
      <c r="B58" s="1">
        <v>46196</v>
      </c>
      <c r="C58" t="s">
        <v>50</v>
      </c>
      <c r="D58" t="s">
        <v>51</v>
      </c>
      <c r="E58" t="s">
        <v>37</v>
      </c>
      <c r="F58" t="s">
        <v>27</v>
      </c>
      <c r="G58" t="s">
        <v>38</v>
      </c>
      <c r="H58" t="s">
        <v>107</v>
      </c>
      <c r="I58" t="s">
        <v>22</v>
      </c>
      <c r="J58">
        <v>1</v>
      </c>
      <c r="K58">
        <v>26000</v>
      </c>
      <c r="L58">
        <v>0.15</v>
      </c>
      <c r="M58">
        <v>22100</v>
      </c>
      <c r="N58">
        <v>15000</v>
      </c>
      <c r="O58" t="s">
        <v>23</v>
      </c>
      <c r="P58" t="s">
        <v>54</v>
      </c>
      <c r="Q58">
        <f t="shared" si="0"/>
        <v>22100</v>
      </c>
      <c r="R58">
        <f t="shared" si="1"/>
        <v>0</v>
      </c>
      <c r="S58">
        <f t="shared" si="2"/>
        <v>15000</v>
      </c>
      <c r="T58">
        <f t="shared" si="3"/>
        <v>7100</v>
      </c>
      <c r="U58">
        <f t="shared" si="4"/>
        <v>6</v>
      </c>
      <c r="V58" t="b">
        <f t="shared" si="5"/>
        <v>0</v>
      </c>
      <c r="W58">
        <f t="shared" si="6"/>
        <v>11</v>
      </c>
      <c r="X58" t="b">
        <f t="shared" si="7"/>
        <v>0</v>
      </c>
    </row>
    <row r="59" spans="1:24" x14ac:dyDescent="0.35">
      <c r="A59">
        <v>100058</v>
      </c>
      <c r="B59" s="1">
        <v>46140</v>
      </c>
      <c r="C59" t="s">
        <v>35</v>
      </c>
      <c r="D59" t="s">
        <v>36</v>
      </c>
      <c r="E59" t="s">
        <v>43</v>
      </c>
      <c r="F59" t="s">
        <v>44</v>
      </c>
      <c r="G59" t="s">
        <v>65</v>
      </c>
      <c r="H59" t="s">
        <v>108</v>
      </c>
      <c r="I59" t="s">
        <v>30</v>
      </c>
      <c r="J59">
        <v>2</v>
      </c>
      <c r="K59">
        <v>28000</v>
      </c>
      <c r="L59">
        <v>0</v>
      </c>
      <c r="M59">
        <v>56000</v>
      </c>
      <c r="N59">
        <v>16000</v>
      </c>
      <c r="O59" t="s">
        <v>23</v>
      </c>
      <c r="P59" t="s">
        <v>84</v>
      </c>
      <c r="Q59">
        <f t="shared" si="0"/>
        <v>56000</v>
      </c>
      <c r="R59">
        <f t="shared" si="1"/>
        <v>0</v>
      </c>
      <c r="S59">
        <f t="shared" si="2"/>
        <v>32000</v>
      </c>
      <c r="T59">
        <f t="shared" si="3"/>
        <v>24000</v>
      </c>
      <c r="U59">
        <f t="shared" si="4"/>
        <v>4</v>
      </c>
      <c r="V59" t="b">
        <f t="shared" si="5"/>
        <v>0</v>
      </c>
      <c r="W59">
        <f t="shared" si="6"/>
        <v>11</v>
      </c>
      <c r="X59" t="b">
        <f t="shared" si="7"/>
        <v>0</v>
      </c>
    </row>
    <row r="60" spans="1:24" x14ac:dyDescent="0.35">
      <c r="A60">
        <v>100059</v>
      </c>
      <c r="B60" s="1">
        <v>46039</v>
      </c>
      <c r="C60" t="s">
        <v>42</v>
      </c>
      <c r="D60" t="s">
        <v>26</v>
      </c>
      <c r="E60" t="s">
        <v>37</v>
      </c>
      <c r="F60" t="s">
        <v>19</v>
      </c>
      <c r="G60" t="s">
        <v>52</v>
      </c>
      <c r="H60" t="s">
        <v>109</v>
      </c>
      <c r="I60" t="s">
        <v>30</v>
      </c>
      <c r="J60">
        <v>2</v>
      </c>
      <c r="K60">
        <v>42000</v>
      </c>
      <c r="L60">
        <v>0.1</v>
      </c>
      <c r="M60">
        <v>75600</v>
      </c>
      <c r="N60">
        <v>28000</v>
      </c>
      <c r="O60" t="s">
        <v>23</v>
      </c>
      <c r="P60" t="s">
        <v>84</v>
      </c>
      <c r="Q60">
        <f t="shared" si="0"/>
        <v>75600</v>
      </c>
      <c r="R60">
        <f t="shared" si="1"/>
        <v>0</v>
      </c>
      <c r="S60">
        <f t="shared" si="2"/>
        <v>56000</v>
      </c>
      <c r="T60">
        <f t="shared" si="3"/>
        <v>19600</v>
      </c>
      <c r="U60">
        <f t="shared" si="4"/>
        <v>5</v>
      </c>
      <c r="V60" t="b">
        <f t="shared" si="5"/>
        <v>0</v>
      </c>
      <c r="W60">
        <f t="shared" si="6"/>
        <v>4</v>
      </c>
      <c r="X60" t="b">
        <f t="shared" si="7"/>
        <v>0</v>
      </c>
    </row>
    <row r="61" spans="1:24" x14ac:dyDescent="0.35">
      <c r="A61">
        <v>100060</v>
      </c>
      <c r="B61" s="1">
        <v>46046</v>
      </c>
      <c r="C61" t="s">
        <v>50</v>
      </c>
      <c r="D61" t="s">
        <v>51</v>
      </c>
      <c r="E61" t="s">
        <v>37</v>
      </c>
      <c r="F61" t="s">
        <v>27</v>
      </c>
      <c r="G61" t="s">
        <v>33</v>
      </c>
      <c r="H61" t="s">
        <v>110</v>
      </c>
      <c r="I61" t="s">
        <v>30</v>
      </c>
      <c r="J61">
        <v>1</v>
      </c>
      <c r="K61">
        <v>32000</v>
      </c>
      <c r="L61">
        <v>0.1</v>
      </c>
      <c r="M61">
        <v>28800</v>
      </c>
      <c r="N61">
        <v>19000</v>
      </c>
      <c r="O61" t="s">
        <v>23</v>
      </c>
      <c r="P61" t="s">
        <v>47</v>
      </c>
      <c r="Q61">
        <f t="shared" si="0"/>
        <v>28800</v>
      </c>
      <c r="R61">
        <f t="shared" si="1"/>
        <v>0</v>
      </c>
      <c r="S61">
        <f t="shared" si="2"/>
        <v>19000</v>
      </c>
      <c r="T61">
        <f t="shared" si="3"/>
        <v>9800</v>
      </c>
      <c r="U61">
        <f t="shared" si="4"/>
        <v>6</v>
      </c>
      <c r="V61" t="b">
        <f t="shared" si="5"/>
        <v>0</v>
      </c>
      <c r="W61">
        <f t="shared" si="6"/>
        <v>11</v>
      </c>
      <c r="X61" t="b">
        <f t="shared" si="7"/>
        <v>0</v>
      </c>
    </row>
    <row r="62" spans="1:24" x14ac:dyDescent="0.35">
      <c r="A62">
        <v>100061</v>
      </c>
      <c r="B62" s="1">
        <v>46251</v>
      </c>
      <c r="C62" t="s">
        <v>42</v>
      </c>
      <c r="D62" t="s">
        <v>26</v>
      </c>
      <c r="E62" t="s">
        <v>43</v>
      </c>
      <c r="F62" t="s">
        <v>27</v>
      </c>
      <c r="G62" t="s">
        <v>33</v>
      </c>
      <c r="H62" t="s">
        <v>111</v>
      </c>
      <c r="I62" t="s">
        <v>30</v>
      </c>
      <c r="J62">
        <v>1</v>
      </c>
      <c r="K62">
        <v>32000</v>
      </c>
      <c r="L62">
        <v>0.15</v>
      </c>
      <c r="M62">
        <v>27200</v>
      </c>
      <c r="N62">
        <v>19000</v>
      </c>
      <c r="O62" t="s">
        <v>23</v>
      </c>
      <c r="P62" t="s">
        <v>84</v>
      </c>
      <c r="Q62">
        <f t="shared" si="0"/>
        <v>27200</v>
      </c>
      <c r="R62">
        <f t="shared" si="1"/>
        <v>0</v>
      </c>
      <c r="S62">
        <f t="shared" si="2"/>
        <v>19000</v>
      </c>
      <c r="T62">
        <f t="shared" si="3"/>
        <v>8200</v>
      </c>
      <c r="U62">
        <f t="shared" si="4"/>
        <v>5</v>
      </c>
      <c r="V62" t="b">
        <f t="shared" si="5"/>
        <v>0</v>
      </c>
      <c r="W62">
        <f t="shared" si="6"/>
        <v>11</v>
      </c>
      <c r="X62" t="b">
        <f t="shared" si="7"/>
        <v>0</v>
      </c>
    </row>
    <row r="63" spans="1:24" x14ac:dyDescent="0.35">
      <c r="A63">
        <v>100062</v>
      </c>
      <c r="B63" s="1">
        <v>46161</v>
      </c>
      <c r="C63" t="s">
        <v>55</v>
      </c>
      <c r="D63" t="s">
        <v>56</v>
      </c>
      <c r="E63" t="s">
        <v>37</v>
      </c>
      <c r="F63" t="s">
        <v>27</v>
      </c>
      <c r="G63" t="s">
        <v>28</v>
      </c>
      <c r="H63" t="s">
        <v>112</v>
      </c>
      <c r="I63" t="s">
        <v>22</v>
      </c>
      <c r="J63">
        <v>3</v>
      </c>
      <c r="K63">
        <v>165000</v>
      </c>
      <c r="L63">
        <v>0</v>
      </c>
      <c r="M63">
        <v>495000</v>
      </c>
      <c r="N63">
        <v>112000</v>
      </c>
      <c r="O63" t="s">
        <v>23</v>
      </c>
      <c r="P63" t="s">
        <v>84</v>
      </c>
      <c r="Q63">
        <f t="shared" si="0"/>
        <v>495000</v>
      </c>
      <c r="R63">
        <f t="shared" si="1"/>
        <v>0</v>
      </c>
      <c r="S63">
        <f t="shared" si="2"/>
        <v>336000</v>
      </c>
      <c r="T63">
        <f t="shared" si="3"/>
        <v>159000</v>
      </c>
      <c r="U63">
        <f t="shared" si="4"/>
        <v>13</v>
      </c>
      <c r="V63" t="b">
        <f t="shared" si="5"/>
        <v>0</v>
      </c>
      <c r="W63">
        <f t="shared" si="6"/>
        <v>11</v>
      </c>
      <c r="X63" t="b">
        <f t="shared" si="7"/>
        <v>0</v>
      </c>
    </row>
    <row r="64" spans="1:24" x14ac:dyDescent="0.35">
      <c r="A64">
        <v>100063</v>
      </c>
      <c r="B64" s="1">
        <v>46114</v>
      </c>
      <c r="C64" t="s">
        <v>42</v>
      </c>
      <c r="D64" t="s">
        <v>26</v>
      </c>
      <c r="E64" t="s">
        <v>43</v>
      </c>
      <c r="F64" t="s">
        <v>19</v>
      </c>
      <c r="G64" t="s">
        <v>20</v>
      </c>
      <c r="H64" t="s">
        <v>77</v>
      </c>
      <c r="I64" t="s">
        <v>22</v>
      </c>
      <c r="J64">
        <v>1</v>
      </c>
      <c r="K64">
        <v>58000</v>
      </c>
      <c r="L64">
        <v>0</v>
      </c>
      <c r="M64">
        <v>58000</v>
      </c>
      <c r="N64">
        <v>39000</v>
      </c>
      <c r="O64" t="s">
        <v>23</v>
      </c>
      <c r="P64" t="s">
        <v>54</v>
      </c>
      <c r="Q64">
        <f t="shared" si="0"/>
        <v>58000</v>
      </c>
      <c r="R64">
        <f t="shared" si="1"/>
        <v>0</v>
      </c>
      <c r="S64">
        <f t="shared" si="2"/>
        <v>39000</v>
      </c>
      <c r="T64">
        <f t="shared" si="3"/>
        <v>19000</v>
      </c>
      <c r="U64">
        <f t="shared" si="4"/>
        <v>5</v>
      </c>
      <c r="V64" t="b">
        <f t="shared" si="5"/>
        <v>0</v>
      </c>
      <c r="W64">
        <f t="shared" si="6"/>
        <v>4</v>
      </c>
      <c r="X64" t="b">
        <f t="shared" si="7"/>
        <v>0</v>
      </c>
    </row>
    <row r="65" spans="1:24" x14ac:dyDescent="0.35">
      <c r="A65">
        <v>100064</v>
      </c>
      <c r="B65" s="1">
        <v>46224</v>
      </c>
      <c r="C65" t="s">
        <v>25</v>
      </c>
      <c r="D65" t="s">
        <v>26</v>
      </c>
      <c r="E65" t="s">
        <v>18</v>
      </c>
      <c r="F65" t="s">
        <v>19</v>
      </c>
      <c r="G65" t="s">
        <v>62</v>
      </c>
      <c r="H65" t="s">
        <v>99</v>
      </c>
      <c r="I65" t="s">
        <v>22</v>
      </c>
      <c r="J65">
        <v>1</v>
      </c>
      <c r="K65">
        <v>24000</v>
      </c>
      <c r="L65">
        <v>0.05</v>
      </c>
      <c r="M65">
        <v>22800</v>
      </c>
      <c r="N65">
        <v>15000</v>
      </c>
      <c r="O65" t="s">
        <v>23</v>
      </c>
      <c r="P65" t="s">
        <v>31</v>
      </c>
      <c r="Q65">
        <f t="shared" si="0"/>
        <v>22800</v>
      </c>
      <c r="R65">
        <f t="shared" si="1"/>
        <v>0</v>
      </c>
      <c r="S65">
        <f t="shared" si="2"/>
        <v>15000</v>
      </c>
      <c r="T65">
        <f t="shared" si="3"/>
        <v>7800</v>
      </c>
      <c r="U65">
        <f t="shared" si="4"/>
        <v>5</v>
      </c>
      <c r="V65" t="b">
        <f t="shared" si="5"/>
        <v>0</v>
      </c>
      <c r="W65">
        <f t="shared" si="6"/>
        <v>4</v>
      </c>
      <c r="X65" t="b">
        <f t="shared" si="7"/>
        <v>0</v>
      </c>
    </row>
    <row r="66" spans="1:24" x14ac:dyDescent="0.35">
      <c r="A66">
        <v>100065</v>
      </c>
      <c r="B66" s="1">
        <v>46172</v>
      </c>
      <c r="C66" t="s">
        <v>55</v>
      </c>
      <c r="D66" t="s">
        <v>56</v>
      </c>
      <c r="E66" t="s">
        <v>43</v>
      </c>
      <c r="F66" t="s">
        <v>27</v>
      </c>
      <c r="G66" t="s">
        <v>28</v>
      </c>
      <c r="H66" t="s">
        <v>113</v>
      </c>
      <c r="I66" t="s">
        <v>30</v>
      </c>
      <c r="J66">
        <v>4</v>
      </c>
      <c r="K66">
        <v>165000</v>
      </c>
      <c r="L66">
        <v>0.1</v>
      </c>
      <c r="M66">
        <v>594000</v>
      </c>
      <c r="N66">
        <v>112000</v>
      </c>
      <c r="O66" t="s">
        <v>23</v>
      </c>
      <c r="P66" t="s">
        <v>58</v>
      </c>
      <c r="Q66">
        <f t="shared" ref="Q66:Q129" si="8">J66*K66*(1-L66)</f>
        <v>594000</v>
      </c>
      <c r="R66">
        <f t="shared" ref="R66:R129" si="9">M66-Q66</f>
        <v>0</v>
      </c>
      <c r="S66">
        <f t="shared" si="2"/>
        <v>448000</v>
      </c>
      <c r="T66">
        <f t="shared" si="3"/>
        <v>146000</v>
      </c>
      <c r="U66">
        <f t="shared" si="4"/>
        <v>13</v>
      </c>
      <c r="V66" t="b">
        <f t="shared" si="5"/>
        <v>0</v>
      </c>
      <c r="W66">
        <f t="shared" si="6"/>
        <v>11</v>
      </c>
      <c r="X66" t="b">
        <f t="shared" si="7"/>
        <v>0</v>
      </c>
    </row>
    <row r="67" spans="1:24" x14ac:dyDescent="0.35">
      <c r="A67">
        <v>100066</v>
      </c>
      <c r="B67" s="1">
        <v>46107</v>
      </c>
      <c r="C67" t="s">
        <v>50</v>
      </c>
      <c r="D67" t="s">
        <v>51</v>
      </c>
      <c r="E67" t="s">
        <v>37</v>
      </c>
      <c r="F67" t="s">
        <v>19</v>
      </c>
      <c r="G67" t="s">
        <v>52</v>
      </c>
      <c r="H67" t="s">
        <v>114</v>
      </c>
      <c r="I67" t="s">
        <v>30</v>
      </c>
      <c r="J67">
        <v>3</v>
      </c>
      <c r="K67">
        <v>42000</v>
      </c>
      <c r="L67">
        <v>0.1</v>
      </c>
      <c r="M67">
        <v>113400</v>
      </c>
      <c r="N67">
        <v>28000</v>
      </c>
      <c r="O67" t="s">
        <v>23</v>
      </c>
      <c r="P67" t="s">
        <v>31</v>
      </c>
      <c r="Q67">
        <f t="shared" si="8"/>
        <v>113400</v>
      </c>
      <c r="R67">
        <f t="shared" si="9"/>
        <v>0</v>
      </c>
      <c r="S67">
        <f t="shared" ref="S67:S130" si="10">J67*N67</f>
        <v>84000</v>
      </c>
      <c r="T67">
        <f t="shared" ref="T67:T130" si="11">Q67-S67</f>
        <v>29400</v>
      </c>
      <c r="U67">
        <f t="shared" ref="U67:U130" si="12">LEN(D67)</f>
        <v>6</v>
      </c>
      <c r="V67" t="b">
        <f t="shared" ref="V67:V130" si="13">AND(LEFT(D67,5)="Lagos",LEN(D67)&gt;5)</f>
        <v>0</v>
      </c>
      <c r="W67">
        <f t="shared" ref="W67:W130" si="14">LEN(F67)</f>
        <v>4</v>
      </c>
      <c r="X67" t="b">
        <f t="shared" ref="X67:X130" si="15">AND(LEFT(F67,11)="Accessories",LEN(F67)&gt;11)</f>
        <v>0</v>
      </c>
    </row>
    <row r="68" spans="1:24" x14ac:dyDescent="0.35">
      <c r="A68">
        <v>100067</v>
      </c>
      <c r="B68" s="1">
        <v>46210</v>
      </c>
      <c r="C68" t="s">
        <v>16</v>
      </c>
      <c r="D68" t="s">
        <v>17</v>
      </c>
      <c r="E68" t="s">
        <v>18</v>
      </c>
      <c r="F68" t="s">
        <v>44</v>
      </c>
      <c r="G68" t="s">
        <v>65</v>
      </c>
      <c r="H68" t="s">
        <v>115</v>
      </c>
      <c r="I68" t="s">
        <v>22</v>
      </c>
      <c r="J68">
        <v>3</v>
      </c>
      <c r="K68">
        <v>28000</v>
      </c>
      <c r="L68">
        <v>0.15</v>
      </c>
      <c r="M68">
        <v>57120</v>
      </c>
      <c r="N68">
        <v>16000</v>
      </c>
      <c r="O68" t="s">
        <v>23</v>
      </c>
      <c r="P68" t="s">
        <v>58</v>
      </c>
      <c r="Q68">
        <f t="shared" si="8"/>
        <v>71400</v>
      </c>
      <c r="R68">
        <f t="shared" si="9"/>
        <v>-14280</v>
      </c>
      <c r="S68">
        <f t="shared" si="10"/>
        <v>48000</v>
      </c>
      <c r="T68">
        <f t="shared" si="11"/>
        <v>23400</v>
      </c>
      <c r="U68">
        <f t="shared" si="12"/>
        <v>5</v>
      </c>
      <c r="V68" t="b">
        <f t="shared" si="13"/>
        <v>0</v>
      </c>
      <c r="W68">
        <f t="shared" si="14"/>
        <v>11</v>
      </c>
      <c r="X68" t="b">
        <f t="shared" si="15"/>
        <v>0</v>
      </c>
    </row>
    <row r="69" spans="1:24" x14ac:dyDescent="0.35">
      <c r="A69">
        <v>100068</v>
      </c>
      <c r="B69" s="1">
        <v>46111</v>
      </c>
      <c r="C69" t="s">
        <v>16</v>
      </c>
      <c r="D69" t="s">
        <v>17</v>
      </c>
      <c r="E69" t="s">
        <v>37</v>
      </c>
      <c r="F69" t="s">
        <v>44</v>
      </c>
      <c r="G69" t="s">
        <v>65</v>
      </c>
      <c r="H69" t="s">
        <v>116</v>
      </c>
      <c r="I69" t="s">
        <v>22</v>
      </c>
      <c r="J69">
        <v>4</v>
      </c>
      <c r="K69">
        <v>28000</v>
      </c>
      <c r="L69">
        <v>0.05</v>
      </c>
      <c r="M69">
        <v>106400</v>
      </c>
      <c r="N69">
        <v>16000</v>
      </c>
      <c r="O69" t="s">
        <v>23</v>
      </c>
      <c r="P69" t="s">
        <v>58</v>
      </c>
      <c r="Q69">
        <f t="shared" si="8"/>
        <v>106400</v>
      </c>
      <c r="R69">
        <f t="shared" si="9"/>
        <v>0</v>
      </c>
      <c r="S69">
        <f t="shared" si="10"/>
        <v>64000</v>
      </c>
      <c r="T69">
        <f t="shared" si="11"/>
        <v>42400</v>
      </c>
      <c r="U69">
        <f t="shared" si="12"/>
        <v>5</v>
      </c>
      <c r="V69" t="b">
        <f t="shared" si="13"/>
        <v>0</v>
      </c>
      <c r="W69">
        <f t="shared" si="14"/>
        <v>11</v>
      </c>
      <c r="X69" t="b">
        <f t="shared" si="15"/>
        <v>0</v>
      </c>
    </row>
    <row r="70" spans="1:24" x14ac:dyDescent="0.35">
      <c r="A70">
        <v>100069</v>
      </c>
      <c r="B70" s="1">
        <v>46092</v>
      </c>
      <c r="C70" t="s">
        <v>55</v>
      </c>
      <c r="D70" t="s">
        <v>56</v>
      </c>
      <c r="E70" t="s">
        <v>43</v>
      </c>
      <c r="F70" t="s">
        <v>27</v>
      </c>
      <c r="G70" t="s">
        <v>28</v>
      </c>
      <c r="H70" t="s">
        <v>117</v>
      </c>
      <c r="I70" t="s">
        <v>22</v>
      </c>
      <c r="J70">
        <v>3</v>
      </c>
      <c r="K70">
        <v>165000</v>
      </c>
      <c r="L70">
        <v>0.05</v>
      </c>
      <c r="M70">
        <v>470250</v>
      </c>
      <c r="N70">
        <v>112000</v>
      </c>
      <c r="O70" t="s">
        <v>23</v>
      </c>
      <c r="P70" t="s">
        <v>47</v>
      </c>
      <c r="Q70">
        <f t="shared" si="8"/>
        <v>470250</v>
      </c>
      <c r="R70">
        <f t="shared" si="9"/>
        <v>0</v>
      </c>
      <c r="S70">
        <f t="shared" si="10"/>
        <v>336000</v>
      </c>
      <c r="T70">
        <f t="shared" si="11"/>
        <v>134250</v>
      </c>
      <c r="U70">
        <f t="shared" si="12"/>
        <v>13</v>
      </c>
      <c r="V70" t="b">
        <f t="shared" si="13"/>
        <v>0</v>
      </c>
      <c r="W70">
        <f t="shared" si="14"/>
        <v>11</v>
      </c>
      <c r="X70" t="b">
        <f t="shared" si="15"/>
        <v>0</v>
      </c>
    </row>
    <row r="71" spans="1:24" x14ac:dyDescent="0.35">
      <c r="A71">
        <v>100070</v>
      </c>
      <c r="B71" s="1">
        <v>46147</v>
      </c>
      <c r="C71" t="s">
        <v>55</v>
      </c>
      <c r="D71" t="s">
        <v>56</v>
      </c>
      <c r="E71" t="s">
        <v>43</v>
      </c>
      <c r="F71" t="s">
        <v>19</v>
      </c>
      <c r="G71" t="s">
        <v>20</v>
      </c>
      <c r="H71" t="s">
        <v>118</v>
      </c>
      <c r="I71" t="s">
        <v>22</v>
      </c>
      <c r="J71">
        <v>3</v>
      </c>
      <c r="K71">
        <v>58000</v>
      </c>
      <c r="L71">
        <v>0</v>
      </c>
      <c r="M71">
        <v>174000</v>
      </c>
      <c r="N71">
        <v>39000</v>
      </c>
      <c r="O71" t="s">
        <v>23</v>
      </c>
      <c r="P71" t="s">
        <v>64</v>
      </c>
      <c r="Q71">
        <f t="shared" si="8"/>
        <v>174000</v>
      </c>
      <c r="R71">
        <f t="shared" si="9"/>
        <v>0</v>
      </c>
      <c r="S71">
        <f t="shared" si="10"/>
        <v>117000</v>
      </c>
      <c r="T71">
        <f t="shared" si="11"/>
        <v>57000</v>
      </c>
      <c r="U71">
        <f t="shared" si="12"/>
        <v>13</v>
      </c>
      <c r="V71" t="b">
        <f t="shared" si="13"/>
        <v>0</v>
      </c>
      <c r="W71">
        <f t="shared" si="14"/>
        <v>4</v>
      </c>
      <c r="X71" t="b">
        <f t="shared" si="15"/>
        <v>0</v>
      </c>
    </row>
    <row r="72" spans="1:24" x14ac:dyDescent="0.35">
      <c r="A72">
        <v>100071</v>
      </c>
      <c r="B72" s="1">
        <v>46028</v>
      </c>
      <c r="C72" t="s">
        <v>42</v>
      </c>
      <c r="D72" t="s">
        <v>26</v>
      </c>
      <c r="E72" t="s">
        <v>37</v>
      </c>
      <c r="F72" t="s">
        <v>27</v>
      </c>
      <c r="G72" t="s">
        <v>38</v>
      </c>
      <c r="H72" t="s">
        <v>119</v>
      </c>
      <c r="I72" t="s">
        <v>30</v>
      </c>
      <c r="J72">
        <v>4</v>
      </c>
      <c r="K72">
        <v>26000</v>
      </c>
      <c r="L72">
        <v>0.1</v>
      </c>
      <c r="M72">
        <v>93600</v>
      </c>
      <c r="N72">
        <v>15000</v>
      </c>
      <c r="O72" t="s">
        <v>23</v>
      </c>
      <c r="P72" t="s">
        <v>24</v>
      </c>
      <c r="Q72">
        <f t="shared" si="8"/>
        <v>93600</v>
      </c>
      <c r="R72">
        <f t="shared" si="9"/>
        <v>0</v>
      </c>
      <c r="S72">
        <f t="shared" si="10"/>
        <v>60000</v>
      </c>
      <c r="T72">
        <f t="shared" si="11"/>
        <v>33600</v>
      </c>
      <c r="U72">
        <f t="shared" si="12"/>
        <v>5</v>
      </c>
      <c r="V72" t="b">
        <f t="shared" si="13"/>
        <v>0</v>
      </c>
      <c r="W72">
        <f t="shared" si="14"/>
        <v>11</v>
      </c>
      <c r="X72" t="b">
        <f t="shared" si="15"/>
        <v>0</v>
      </c>
    </row>
    <row r="73" spans="1:24" x14ac:dyDescent="0.35">
      <c r="A73">
        <v>100072</v>
      </c>
      <c r="B73" s="1">
        <v>46182</v>
      </c>
      <c r="C73" t="s">
        <v>50</v>
      </c>
      <c r="D73" t="s">
        <v>51</v>
      </c>
      <c r="E73" t="s">
        <v>43</v>
      </c>
      <c r="F73" t="s">
        <v>19</v>
      </c>
      <c r="G73" t="s">
        <v>20</v>
      </c>
      <c r="H73" t="s">
        <v>120</v>
      </c>
      <c r="I73" t="s">
        <v>22</v>
      </c>
      <c r="J73">
        <v>3</v>
      </c>
      <c r="K73">
        <v>58000</v>
      </c>
      <c r="L73">
        <v>0.1</v>
      </c>
      <c r="M73">
        <v>125280</v>
      </c>
      <c r="N73">
        <v>39000</v>
      </c>
      <c r="O73" t="s">
        <v>23</v>
      </c>
      <c r="P73" t="s">
        <v>40</v>
      </c>
      <c r="Q73">
        <f t="shared" si="8"/>
        <v>156600</v>
      </c>
      <c r="R73">
        <f t="shared" si="9"/>
        <v>-31320</v>
      </c>
      <c r="S73">
        <f t="shared" si="10"/>
        <v>117000</v>
      </c>
      <c r="T73">
        <f t="shared" si="11"/>
        <v>39600</v>
      </c>
      <c r="U73">
        <f t="shared" si="12"/>
        <v>6</v>
      </c>
      <c r="V73" t="b">
        <f t="shared" si="13"/>
        <v>0</v>
      </c>
      <c r="W73">
        <f t="shared" si="14"/>
        <v>4</v>
      </c>
      <c r="X73" t="b">
        <f t="shared" si="15"/>
        <v>0</v>
      </c>
    </row>
    <row r="74" spans="1:24" x14ac:dyDescent="0.35">
      <c r="A74">
        <v>100073</v>
      </c>
      <c r="B74" s="1">
        <v>46086</v>
      </c>
      <c r="C74" t="s">
        <v>32</v>
      </c>
      <c r="D74" t="s">
        <v>17</v>
      </c>
      <c r="E74" t="s">
        <v>37</v>
      </c>
      <c r="F74" t="s">
        <v>27</v>
      </c>
      <c r="G74" t="s">
        <v>38</v>
      </c>
      <c r="H74" t="s">
        <v>121</v>
      </c>
      <c r="I74" t="s">
        <v>30</v>
      </c>
      <c r="J74">
        <v>1</v>
      </c>
      <c r="K74">
        <v>26000</v>
      </c>
      <c r="L74">
        <v>0.1</v>
      </c>
      <c r="M74">
        <v>23400</v>
      </c>
      <c r="N74">
        <v>15000</v>
      </c>
      <c r="O74" t="s">
        <v>76</v>
      </c>
      <c r="P74" t="s">
        <v>47</v>
      </c>
      <c r="Q74">
        <f t="shared" si="8"/>
        <v>23400</v>
      </c>
      <c r="R74">
        <f t="shared" si="9"/>
        <v>0</v>
      </c>
      <c r="S74">
        <f t="shared" si="10"/>
        <v>15000</v>
      </c>
      <c r="T74">
        <f t="shared" si="11"/>
        <v>8400</v>
      </c>
      <c r="U74">
        <f t="shared" si="12"/>
        <v>5</v>
      </c>
      <c r="V74" t="b">
        <f t="shared" si="13"/>
        <v>0</v>
      </c>
      <c r="W74">
        <f t="shared" si="14"/>
        <v>11</v>
      </c>
      <c r="X74" t="b">
        <f t="shared" si="15"/>
        <v>0</v>
      </c>
    </row>
    <row r="75" spans="1:24" x14ac:dyDescent="0.35">
      <c r="A75">
        <v>100074</v>
      </c>
      <c r="B75" s="1">
        <v>46132</v>
      </c>
      <c r="C75" t="s">
        <v>50</v>
      </c>
      <c r="D75" t="s">
        <v>51</v>
      </c>
      <c r="E75" t="s">
        <v>43</v>
      </c>
      <c r="F75" t="s">
        <v>44</v>
      </c>
      <c r="G75" t="s">
        <v>45</v>
      </c>
      <c r="H75" t="s">
        <v>122</v>
      </c>
      <c r="I75" t="s">
        <v>22</v>
      </c>
      <c r="J75">
        <v>4</v>
      </c>
      <c r="K75">
        <v>6500</v>
      </c>
      <c r="L75">
        <v>0.05</v>
      </c>
      <c r="M75">
        <v>24700</v>
      </c>
      <c r="N75">
        <v>2200</v>
      </c>
      <c r="O75" t="s">
        <v>23</v>
      </c>
      <c r="P75" t="s">
        <v>24</v>
      </c>
      <c r="Q75">
        <f t="shared" si="8"/>
        <v>24700</v>
      </c>
      <c r="R75">
        <f t="shared" si="9"/>
        <v>0</v>
      </c>
      <c r="S75">
        <f t="shared" si="10"/>
        <v>8800</v>
      </c>
      <c r="T75">
        <f t="shared" si="11"/>
        <v>15900</v>
      </c>
      <c r="U75">
        <f t="shared" si="12"/>
        <v>6</v>
      </c>
      <c r="V75" t="b">
        <f t="shared" si="13"/>
        <v>0</v>
      </c>
      <c r="W75">
        <f t="shared" si="14"/>
        <v>11</v>
      </c>
      <c r="X75" t="b">
        <f t="shared" si="15"/>
        <v>0</v>
      </c>
    </row>
    <row r="76" spans="1:24" x14ac:dyDescent="0.35">
      <c r="A76">
        <v>100075</v>
      </c>
      <c r="B76" s="1">
        <v>46256</v>
      </c>
      <c r="C76" t="s">
        <v>25</v>
      </c>
      <c r="D76" t="s">
        <v>26</v>
      </c>
      <c r="E76" t="s">
        <v>43</v>
      </c>
      <c r="F76" t="s">
        <v>27</v>
      </c>
      <c r="G76" t="s">
        <v>28</v>
      </c>
      <c r="H76" t="s">
        <v>123</v>
      </c>
      <c r="I76" t="s">
        <v>30</v>
      </c>
      <c r="J76">
        <v>1</v>
      </c>
      <c r="K76">
        <v>165000</v>
      </c>
      <c r="L76">
        <v>0.05</v>
      </c>
      <c r="M76">
        <v>156750</v>
      </c>
      <c r="N76">
        <v>112000</v>
      </c>
      <c r="O76" t="s">
        <v>23</v>
      </c>
      <c r="P76" t="s">
        <v>54</v>
      </c>
      <c r="Q76">
        <f t="shared" si="8"/>
        <v>156750</v>
      </c>
      <c r="R76">
        <f t="shared" si="9"/>
        <v>0</v>
      </c>
      <c r="S76">
        <f t="shared" si="10"/>
        <v>112000</v>
      </c>
      <c r="T76">
        <f t="shared" si="11"/>
        <v>44750</v>
      </c>
      <c r="U76">
        <f t="shared" si="12"/>
        <v>5</v>
      </c>
      <c r="V76" t="b">
        <f t="shared" si="13"/>
        <v>0</v>
      </c>
      <c r="W76">
        <f t="shared" si="14"/>
        <v>11</v>
      </c>
      <c r="X76" t="b">
        <f t="shared" si="15"/>
        <v>0</v>
      </c>
    </row>
    <row r="77" spans="1:24" x14ac:dyDescent="0.35">
      <c r="A77">
        <v>100076</v>
      </c>
      <c r="B77" s="1">
        <v>46064</v>
      </c>
      <c r="C77" t="s">
        <v>25</v>
      </c>
      <c r="D77" t="s">
        <v>26</v>
      </c>
      <c r="E77" t="s">
        <v>43</v>
      </c>
      <c r="F77" t="s">
        <v>27</v>
      </c>
      <c r="G77" t="s">
        <v>38</v>
      </c>
      <c r="H77" t="s">
        <v>124</v>
      </c>
      <c r="I77" t="s">
        <v>22</v>
      </c>
      <c r="J77">
        <v>4</v>
      </c>
      <c r="K77">
        <v>26000</v>
      </c>
      <c r="L77">
        <v>0</v>
      </c>
      <c r="M77">
        <v>104000</v>
      </c>
      <c r="N77">
        <v>15000</v>
      </c>
      <c r="O77" t="s">
        <v>23</v>
      </c>
      <c r="P77" t="s">
        <v>84</v>
      </c>
      <c r="Q77">
        <f t="shared" si="8"/>
        <v>104000</v>
      </c>
      <c r="R77">
        <f t="shared" si="9"/>
        <v>0</v>
      </c>
      <c r="S77">
        <f t="shared" si="10"/>
        <v>60000</v>
      </c>
      <c r="T77">
        <f t="shared" si="11"/>
        <v>44000</v>
      </c>
      <c r="U77">
        <f t="shared" si="12"/>
        <v>5</v>
      </c>
      <c r="V77" t="b">
        <f t="shared" si="13"/>
        <v>0</v>
      </c>
      <c r="W77">
        <f t="shared" si="14"/>
        <v>11</v>
      </c>
      <c r="X77" t="b">
        <f t="shared" si="15"/>
        <v>0</v>
      </c>
    </row>
    <row r="78" spans="1:24" x14ac:dyDescent="0.35">
      <c r="A78">
        <v>100077</v>
      </c>
      <c r="B78" s="1">
        <v>46156</v>
      </c>
      <c r="C78" t="s">
        <v>42</v>
      </c>
      <c r="D78" t="s">
        <v>26</v>
      </c>
      <c r="E78" t="s">
        <v>43</v>
      </c>
      <c r="F78" t="s">
        <v>44</v>
      </c>
      <c r="G78" t="s">
        <v>60</v>
      </c>
      <c r="H78" t="s">
        <v>63</v>
      </c>
      <c r="I78" t="s">
        <v>22</v>
      </c>
      <c r="J78">
        <v>2</v>
      </c>
      <c r="K78">
        <v>9000</v>
      </c>
      <c r="L78">
        <v>0.15</v>
      </c>
      <c r="M78">
        <v>15300</v>
      </c>
      <c r="N78">
        <v>3500</v>
      </c>
      <c r="O78" t="s">
        <v>23</v>
      </c>
      <c r="P78" t="s">
        <v>24</v>
      </c>
      <c r="Q78">
        <f t="shared" si="8"/>
        <v>15300</v>
      </c>
      <c r="R78">
        <f t="shared" si="9"/>
        <v>0</v>
      </c>
      <c r="S78">
        <f t="shared" si="10"/>
        <v>7000</v>
      </c>
      <c r="T78">
        <f t="shared" si="11"/>
        <v>8300</v>
      </c>
      <c r="U78">
        <f t="shared" si="12"/>
        <v>5</v>
      </c>
      <c r="V78" t="b">
        <f t="shared" si="13"/>
        <v>0</v>
      </c>
      <c r="W78">
        <f t="shared" si="14"/>
        <v>11</v>
      </c>
      <c r="X78" t="b">
        <f t="shared" si="15"/>
        <v>0</v>
      </c>
    </row>
    <row r="79" spans="1:24" x14ac:dyDescent="0.35">
      <c r="A79">
        <v>100078</v>
      </c>
      <c r="B79" s="1">
        <v>46209</v>
      </c>
      <c r="C79" t="s">
        <v>25</v>
      </c>
      <c r="D79" t="s">
        <v>26</v>
      </c>
      <c r="E79" t="s">
        <v>43</v>
      </c>
      <c r="F79" t="s">
        <v>44</v>
      </c>
      <c r="G79" t="s">
        <v>45</v>
      </c>
      <c r="H79" t="s">
        <v>125</v>
      </c>
      <c r="I79" t="s">
        <v>30</v>
      </c>
      <c r="J79">
        <v>2</v>
      </c>
      <c r="K79">
        <v>6500</v>
      </c>
      <c r="L79">
        <v>0.1</v>
      </c>
      <c r="M79">
        <v>11700</v>
      </c>
      <c r="N79">
        <v>2200</v>
      </c>
      <c r="O79" t="s">
        <v>23</v>
      </c>
      <c r="P79" t="s">
        <v>31</v>
      </c>
      <c r="Q79">
        <f t="shared" si="8"/>
        <v>11700</v>
      </c>
      <c r="R79">
        <f t="shared" si="9"/>
        <v>0</v>
      </c>
      <c r="S79">
        <f t="shared" si="10"/>
        <v>4400</v>
      </c>
      <c r="T79">
        <f t="shared" si="11"/>
        <v>7300</v>
      </c>
      <c r="U79">
        <f t="shared" si="12"/>
        <v>5</v>
      </c>
      <c r="V79" t="b">
        <f t="shared" si="13"/>
        <v>0</v>
      </c>
      <c r="W79">
        <f t="shared" si="14"/>
        <v>11</v>
      </c>
      <c r="X79" t="b">
        <f t="shared" si="15"/>
        <v>0</v>
      </c>
    </row>
    <row r="80" spans="1:24" x14ac:dyDescent="0.35">
      <c r="A80">
        <v>100079</v>
      </c>
      <c r="B80" s="1">
        <v>46058</v>
      </c>
      <c r="C80" t="s">
        <v>42</v>
      </c>
      <c r="D80" t="s">
        <v>26</v>
      </c>
      <c r="E80" t="s">
        <v>43</v>
      </c>
      <c r="F80" t="s">
        <v>19</v>
      </c>
      <c r="G80" t="s">
        <v>20</v>
      </c>
      <c r="H80" t="s">
        <v>126</v>
      </c>
      <c r="I80" t="s">
        <v>30</v>
      </c>
      <c r="J80">
        <v>2</v>
      </c>
      <c r="K80">
        <v>58000</v>
      </c>
      <c r="L80">
        <v>0.1</v>
      </c>
      <c r="M80">
        <v>104400</v>
      </c>
      <c r="N80">
        <v>39000</v>
      </c>
      <c r="O80" t="s">
        <v>23</v>
      </c>
      <c r="P80" t="s">
        <v>84</v>
      </c>
      <c r="Q80">
        <f t="shared" si="8"/>
        <v>104400</v>
      </c>
      <c r="R80">
        <f t="shared" si="9"/>
        <v>0</v>
      </c>
      <c r="S80">
        <f t="shared" si="10"/>
        <v>78000</v>
      </c>
      <c r="T80">
        <f t="shared" si="11"/>
        <v>26400</v>
      </c>
      <c r="U80">
        <f t="shared" si="12"/>
        <v>5</v>
      </c>
      <c r="V80" t="b">
        <f t="shared" si="13"/>
        <v>0</v>
      </c>
      <c r="W80">
        <f t="shared" si="14"/>
        <v>4</v>
      </c>
      <c r="X80" t="b">
        <f t="shared" si="15"/>
        <v>0</v>
      </c>
    </row>
    <row r="81" spans="1:24" x14ac:dyDescent="0.35">
      <c r="A81">
        <v>100080</v>
      </c>
      <c r="B81" s="1">
        <v>46255</v>
      </c>
      <c r="C81" t="s">
        <v>50</v>
      </c>
      <c r="D81" t="s">
        <v>51</v>
      </c>
      <c r="E81" t="s">
        <v>37</v>
      </c>
      <c r="F81" t="s">
        <v>44</v>
      </c>
      <c r="G81" t="s">
        <v>65</v>
      </c>
      <c r="H81" t="s">
        <v>127</v>
      </c>
      <c r="I81" t="s">
        <v>30</v>
      </c>
      <c r="J81">
        <v>2</v>
      </c>
      <c r="K81">
        <v>28000</v>
      </c>
      <c r="L81">
        <v>0.1</v>
      </c>
      <c r="M81">
        <v>50400</v>
      </c>
      <c r="N81">
        <v>16000</v>
      </c>
      <c r="O81" t="s">
        <v>23</v>
      </c>
      <c r="P81" t="s">
        <v>31</v>
      </c>
      <c r="Q81">
        <f t="shared" si="8"/>
        <v>50400</v>
      </c>
      <c r="R81">
        <f t="shared" si="9"/>
        <v>0</v>
      </c>
      <c r="S81">
        <f t="shared" si="10"/>
        <v>32000</v>
      </c>
      <c r="T81">
        <f t="shared" si="11"/>
        <v>18400</v>
      </c>
      <c r="U81">
        <f t="shared" si="12"/>
        <v>6</v>
      </c>
      <c r="V81" t="b">
        <f t="shared" si="13"/>
        <v>0</v>
      </c>
      <c r="W81">
        <f t="shared" si="14"/>
        <v>11</v>
      </c>
      <c r="X81" t="b">
        <f t="shared" si="15"/>
        <v>0</v>
      </c>
    </row>
    <row r="82" spans="1:24" x14ac:dyDescent="0.35">
      <c r="A82">
        <v>100081</v>
      </c>
      <c r="B82" s="1">
        <v>46151</v>
      </c>
      <c r="C82" t="s">
        <v>42</v>
      </c>
      <c r="D82" t="s">
        <v>26</v>
      </c>
      <c r="E82" t="s">
        <v>37</v>
      </c>
      <c r="F82" t="s">
        <v>27</v>
      </c>
      <c r="G82" t="s">
        <v>33</v>
      </c>
      <c r="H82" t="s">
        <v>128</v>
      </c>
      <c r="I82" t="s">
        <v>22</v>
      </c>
      <c r="J82">
        <v>2</v>
      </c>
      <c r="K82">
        <v>32000</v>
      </c>
      <c r="L82">
        <v>0</v>
      </c>
      <c r="M82">
        <v>64000</v>
      </c>
      <c r="N82">
        <v>19000</v>
      </c>
      <c r="O82" t="s">
        <v>23</v>
      </c>
      <c r="P82" t="s">
        <v>84</v>
      </c>
      <c r="Q82">
        <f t="shared" si="8"/>
        <v>64000</v>
      </c>
      <c r="R82">
        <f t="shared" si="9"/>
        <v>0</v>
      </c>
      <c r="S82">
        <f t="shared" si="10"/>
        <v>38000</v>
      </c>
      <c r="T82">
        <f t="shared" si="11"/>
        <v>26000</v>
      </c>
      <c r="U82">
        <f t="shared" si="12"/>
        <v>5</v>
      </c>
      <c r="V82" t="b">
        <f t="shared" si="13"/>
        <v>0</v>
      </c>
      <c r="W82">
        <f t="shared" si="14"/>
        <v>11</v>
      </c>
      <c r="X82" t="b">
        <f t="shared" si="15"/>
        <v>0</v>
      </c>
    </row>
    <row r="83" spans="1:24" x14ac:dyDescent="0.35">
      <c r="A83">
        <v>100082</v>
      </c>
      <c r="B83" s="1">
        <v>46149</v>
      </c>
      <c r="C83" t="s">
        <v>32</v>
      </c>
      <c r="D83" t="s">
        <v>17</v>
      </c>
      <c r="E83" t="s">
        <v>37</v>
      </c>
      <c r="F83" t="s">
        <v>27</v>
      </c>
      <c r="G83" t="s">
        <v>28</v>
      </c>
      <c r="H83" t="s">
        <v>86</v>
      </c>
      <c r="I83" t="s">
        <v>22</v>
      </c>
      <c r="J83">
        <v>2</v>
      </c>
      <c r="K83">
        <v>165000</v>
      </c>
      <c r="L83">
        <v>0.1</v>
      </c>
      <c r="M83">
        <v>297000</v>
      </c>
      <c r="N83">
        <v>112000</v>
      </c>
      <c r="O83" t="s">
        <v>23</v>
      </c>
      <c r="P83" t="s">
        <v>54</v>
      </c>
      <c r="Q83">
        <f t="shared" si="8"/>
        <v>297000</v>
      </c>
      <c r="R83">
        <f t="shared" si="9"/>
        <v>0</v>
      </c>
      <c r="S83">
        <f t="shared" si="10"/>
        <v>224000</v>
      </c>
      <c r="T83">
        <f t="shared" si="11"/>
        <v>73000</v>
      </c>
      <c r="U83">
        <f t="shared" si="12"/>
        <v>5</v>
      </c>
      <c r="V83" t="b">
        <f t="shared" si="13"/>
        <v>0</v>
      </c>
      <c r="W83">
        <f t="shared" si="14"/>
        <v>11</v>
      </c>
      <c r="X83" t="b">
        <f t="shared" si="15"/>
        <v>0</v>
      </c>
    </row>
    <row r="84" spans="1:24" x14ac:dyDescent="0.35">
      <c r="A84">
        <v>100083</v>
      </c>
      <c r="B84" s="1">
        <v>46079</v>
      </c>
      <c r="C84" t="s">
        <v>42</v>
      </c>
      <c r="D84" t="s">
        <v>26</v>
      </c>
      <c r="E84" t="s">
        <v>43</v>
      </c>
      <c r="F84" t="s">
        <v>27</v>
      </c>
      <c r="G84" t="s">
        <v>28</v>
      </c>
      <c r="H84" t="s">
        <v>129</v>
      </c>
      <c r="I84" t="s">
        <v>30</v>
      </c>
      <c r="J84">
        <v>3</v>
      </c>
      <c r="K84">
        <v>165000</v>
      </c>
      <c r="L84">
        <v>0.1</v>
      </c>
      <c r="M84">
        <v>445500</v>
      </c>
      <c r="N84">
        <v>112000</v>
      </c>
      <c r="O84" t="s">
        <v>76</v>
      </c>
      <c r="P84" t="s">
        <v>54</v>
      </c>
      <c r="Q84">
        <f t="shared" si="8"/>
        <v>445500</v>
      </c>
      <c r="R84">
        <f t="shared" si="9"/>
        <v>0</v>
      </c>
      <c r="S84">
        <f t="shared" si="10"/>
        <v>336000</v>
      </c>
      <c r="T84">
        <f t="shared" si="11"/>
        <v>109500</v>
      </c>
      <c r="U84">
        <f t="shared" si="12"/>
        <v>5</v>
      </c>
      <c r="V84" t="b">
        <f t="shared" si="13"/>
        <v>0</v>
      </c>
      <c r="W84">
        <f t="shared" si="14"/>
        <v>11</v>
      </c>
      <c r="X84" t="b">
        <f t="shared" si="15"/>
        <v>0</v>
      </c>
    </row>
    <row r="85" spans="1:24" x14ac:dyDescent="0.35">
      <c r="A85">
        <v>100084</v>
      </c>
      <c r="B85" s="1">
        <v>46226</v>
      </c>
      <c r="C85" t="s">
        <v>32</v>
      </c>
      <c r="D85" t="s">
        <v>17</v>
      </c>
      <c r="E85" t="s">
        <v>43</v>
      </c>
      <c r="F85" t="s">
        <v>27</v>
      </c>
      <c r="G85" t="s">
        <v>38</v>
      </c>
      <c r="H85" t="s">
        <v>130</v>
      </c>
      <c r="I85" t="s">
        <v>22</v>
      </c>
      <c r="J85">
        <v>4</v>
      </c>
      <c r="K85">
        <v>26000</v>
      </c>
      <c r="L85">
        <v>0</v>
      </c>
      <c r="M85">
        <v>104000</v>
      </c>
      <c r="N85">
        <v>15000</v>
      </c>
      <c r="O85" t="s">
        <v>76</v>
      </c>
      <c r="P85" t="s">
        <v>31</v>
      </c>
      <c r="Q85">
        <f t="shared" si="8"/>
        <v>104000</v>
      </c>
      <c r="R85">
        <f t="shared" si="9"/>
        <v>0</v>
      </c>
      <c r="S85">
        <f t="shared" si="10"/>
        <v>60000</v>
      </c>
      <c r="T85">
        <f t="shared" si="11"/>
        <v>44000</v>
      </c>
      <c r="U85">
        <f t="shared" si="12"/>
        <v>5</v>
      </c>
      <c r="V85" t="b">
        <f t="shared" si="13"/>
        <v>0</v>
      </c>
      <c r="W85">
        <f t="shared" si="14"/>
        <v>11</v>
      </c>
      <c r="X85" t="b">
        <f t="shared" si="15"/>
        <v>0</v>
      </c>
    </row>
    <row r="86" spans="1:24" x14ac:dyDescent="0.35">
      <c r="A86">
        <v>100085</v>
      </c>
      <c r="B86" s="1">
        <v>46227</v>
      </c>
      <c r="C86" t="s">
        <v>55</v>
      </c>
      <c r="D86" t="s">
        <v>56</v>
      </c>
      <c r="E86" t="s">
        <v>18</v>
      </c>
      <c r="F86" t="s">
        <v>27</v>
      </c>
      <c r="G86" t="s">
        <v>38</v>
      </c>
      <c r="H86" t="s">
        <v>131</v>
      </c>
      <c r="I86" t="s">
        <v>30</v>
      </c>
      <c r="J86">
        <v>3</v>
      </c>
      <c r="K86">
        <v>26000</v>
      </c>
      <c r="L86">
        <v>0</v>
      </c>
      <c r="M86">
        <v>78000</v>
      </c>
      <c r="N86">
        <v>15000</v>
      </c>
      <c r="O86" t="s">
        <v>23</v>
      </c>
      <c r="P86" t="s">
        <v>84</v>
      </c>
      <c r="Q86">
        <f t="shared" si="8"/>
        <v>78000</v>
      </c>
      <c r="R86">
        <f t="shared" si="9"/>
        <v>0</v>
      </c>
      <c r="S86">
        <f t="shared" si="10"/>
        <v>45000</v>
      </c>
      <c r="T86">
        <f t="shared" si="11"/>
        <v>33000</v>
      </c>
      <c r="U86">
        <f t="shared" si="12"/>
        <v>13</v>
      </c>
      <c r="V86" t="b">
        <f t="shared" si="13"/>
        <v>0</v>
      </c>
      <c r="W86">
        <f t="shared" si="14"/>
        <v>11</v>
      </c>
      <c r="X86" t="b">
        <f t="shared" si="15"/>
        <v>0</v>
      </c>
    </row>
    <row r="87" spans="1:24" x14ac:dyDescent="0.35">
      <c r="A87">
        <v>100086</v>
      </c>
      <c r="B87" s="1">
        <v>46068</v>
      </c>
      <c r="C87" t="s">
        <v>35</v>
      </c>
      <c r="D87" t="s">
        <v>36</v>
      </c>
      <c r="E87" t="s">
        <v>37</v>
      </c>
      <c r="F87" t="s">
        <v>27</v>
      </c>
      <c r="G87" t="s">
        <v>33</v>
      </c>
      <c r="H87" t="s">
        <v>132</v>
      </c>
      <c r="I87" t="s">
        <v>30</v>
      </c>
      <c r="J87">
        <v>4</v>
      </c>
      <c r="K87">
        <v>32000</v>
      </c>
      <c r="L87">
        <v>0.1</v>
      </c>
      <c r="M87">
        <v>115200</v>
      </c>
      <c r="N87">
        <v>19000</v>
      </c>
      <c r="O87" t="s">
        <v>23</v>
      </c>
      <c r="P87" t="s">
        <v>54</v>
      </c>
      <c r="Q87">
        <f t="shared" si="8"/>
        <v>115200</v>
      </c>
      <c r="R87">
        <f t="shared" si="9"/>
        <v>0</v>
      </c>
      <c r="S87">
        <f t="shared" si="10"/>
        <v>76000</v>
      </c>
      <c r="T87">
        <f t="shared" si="11"/>
        <v>39200</v>
      </c>
      <c r="U87">
        <f t="shared" si="12"/>
        <v>4</v>
      </c>
      <c r="V87" t="b">
        <f t="shared" si="13"/>
        <v>0</v>
      </c>
      <c r="W87">
        <f t="shared" si="14"/>
        <v>11</v>
      </c>
      <c r="X87" t="b">
        <f t="shared" si="15"/>
        <v>0</v>
      </c>
    </row>
    <row r="88" spans="1:24" x14ac:dyDescent="0.35">
      <c r="A88">
        <v>100087</v>
      </c>
      <c r="B88" s="1">
        <v>46032</v>
      </c>
      <c r="C88" t="s">
        <v>32</v>
      </c>
      <c r="D88" t="s">
        <v>17</v>
      </c>
      <c r="E88" t="s">
        <v>18</v>
      </c>
      <c r="F88" t="s">
        <v>44</v>
      </c>
      <c r="G88" t="s">
        <v>65</v>
      </c>
      <c r="H88" t="s">
        <v>133</v>
      </c>
      <c r="I88" t="s">
        <v>30</v>
      </c>
      <c r="J88">
        <v>3</v>
      </c>
      <c r="K88">
        <v>28000</v>
      </c>
      <c r="L88">
        <v>0.15</v>
      </c>
      <c r="M88">
        <v>71400</v>
      </c>
      <c r="N88">
        <v>16000</v>
      </c>
      <c r="O88" t="s">
        <v>23</v>
      </c>
      <c r="P88" t="s">
        <v>54</v>
      </c>
      <c r="Q88">
        <f t="shared" si="8"/>
        <v>71400</v>
      </c>
      <c r="R88">
        <f t="shared" si="9"/>
        <v>0</v>
      </c>
      <c r="S88">
        <f t="shared" si="10"/>
        <v>48000</v>
      </c>
      <c r="T88">
        <f t="shared" si="11"/>
        <v>23400</v>
      </c>
      <c r="U88">
        <f t="shared" si="12"/>
        <v>5</v>
      </c>
      <c r="V88" t="b">
        <f t="shared" si="13"/>
        <v>0</v>
      </c>
      <c r="W88">
        <f t="shared" si="14"/>
        <v>11</v>
      </c>
      <c r="X88" t="b">
        <f t="shared" si="15"/>
        <v>0</v>
      </c>
    </row>
    <row r="89" spans="1:24" x14ac:dyDescent="0.35">
      <c r="A89">
        <v>100088</v>
      </c>
      <c r="B89" s="1">
        <v>46191</v>
      </c>
      <c r="C89" t="s">
        <v>35</v>
      </c>
      <c r="D89" t="s">
        <v>36</v>
      </c>
      <c r="E89" t="s">
        <v>18</v>
      </c>
      <c r="F89" t="s">
        <v>27</v>
      </c>
      <c r="G89" t="s">
        <v>33</v>
      </c>
      <c r="H89" t="s">
        <v>134</v>
      </c>
      <c r="I89" t="s">
        <v>30</v>
      </c>
      <c r="J89">
        <v>5</v>
      </c>
      <c r="K89">
        <v>32000</v>
      </c>
      <c r="L89">
        <v>0.05</v>
      </c>
      <c r="M89">
        <v>152000</v>
      </c>
      <c r="N89">
        <v>19000</v>
      </c>
      <c r="O89" t="s">
        <v>76</v>
      </c>
      <c r="P89" t="s">
        <v>24</v>
      </c>
      <c r="Q89">
        <f t="shared" si="8"/>
        <v>152000</v>
      </c>
      <c r="R89">
        <f t="shared" si="9"/>
        <v>0</v>
      </c>
      <c r="S89">
        <f t="shared" si="10"/>
        <v>95000</v>
      </c>
      <c r="T89">
        <f t="shared" si="11"/>
        <v>57000</v>
      </c>
      <c r="U89">
        <f t="shared" si="12"/>
        <v>4</v>
      </c>
      <c r="V89" t="b">
        <f t="shared" si="13"/>
        <v>0</v>
      </c>
      <c r="W89">
        <f t="shared" si="14"/>
        <v>11</v>
      </c>
      <c r="X89" t="b">
        <f t="shared" si="15"/>
        <v>0</v>
      </c>
    </row>
    <row r="90" spans="1:24" x14ac:dyDescent="0.35">
      <c r="A90">
        <v>100089</v>
      </c>
      <c r="B90" s="1">
        <v>46024</v>
      </c>
      <c r="C90" t="s">
        <v>35</v>
      </c>
      <c r="D90" t="s">
        <v>36</v>
      </c>
      <c r="E90" t="s">
        <v>43</v>
      </c>
      <c r="F90" t="s">
        <v>19</v>
      </c>
      <c r="G90" t="s">
        <v>52</v>
      </c>
      <c r="H90" t="s">
        <v>86</v>
      </c>
      <c r="I90" t="s">
        <v>30</v>
      </c>
      <c r="J90">
        <v>1</v>
      </c>
      <c r="K90">
        <v>42000</v>
      </c>
      <c r="L90">
        <v>0.05</v>
      </c>
      <c r="M90">
        <v>39900</v>
      </c>
      <c r="N90">
        <v>28000</v>
      </c>
      <c r="O90" t="s">
        <v>23</v>
      </c>
      <c r="P90" t="s">
        <v>47</v>
      </c>
      <c r="Q90">
        <f t="shared" si="8"/>
        <v>39900</v>
      </c>
      <c r="R90">
        <f t="shared" si="9"/>
        <v>0</v>
      </c>
      <c r="S90">
        <f t="shared" si="10"/>
        <v>28000</v>
      </c>
      <c r="T90">
        <f t="shared" si="11"/>
        <v>11900</v>
      </c>
      <c r="U90">
        <f t="shared" si="12"/>
        <v>4</v>
      </c>
      <c r="V90" t="b">
        <f t="shared" si="13"/>
        <v>0</v>
      </c>
      <c r="W90">
        <f t="shared" si="14"/>
        <v>4</v>
      </c>
      <c r="X90" t="b">
        <f t="shared" si="15"/>
        <v>0</v>
      </c>
    </row>
    <row r="91" spans="1:24" x14ac:dyDescent="0.35">
      <c r="A91">
        <v>100090</v>
      </c>
      <c r="B91" s="1">
        <v>46085</v>
      </c>
      <c r="C91" t="s">
        <v>35</v>
      </c>
      <c r="D91" t="s">
        <v>36</v>
      </c>
      <c r="E91" t="s">
        <v>37</v>
      </c>
      <c r="F91" t="s">
        <v>19</v>
      </c>
      <c r="G91" t="s">
        <v>52</v>
      </c>
      <c r="H91" t="s">
        <v>95</v>
      </c>
      <c r="I91" t="s">
        <v>30</v>
      </c>
      <c r="J91">
        <v>4</v>
      </c>
      <c r="K91">
        <v>42000</v>
      </c>
      <c r="L91">
        <v>0.05</v>
      </c>
      <c r="M91">
        <v>159600</v>
      </c>
      <c r="N91">
        <v>28000</v>
      </c>
      <c r="O91" t="s">
        <v>23</v>
      </c>
      <c r="P91" t="s">
        <v>31</v>
      </c>
      <c r="Q91">
        <f t="shared" si="8"/>
        <v>159600</v>
      </c>
      <c r="R91">
        <f t="shared" si="9"/>
        <v>0</v>
      </c>
      <c r="S91">
        <f t="shared" si="10"/>
        <v>112000</v>
      </c>
      <c r="T91">
        <f t="shared" si="11"/>
        <v>47600</v>
      </c>
      <c r="U91">
        <f t="shared" si="12"/>
        <v>4</v>
      </c>
      <c r="V91" t="b">
        <f t="shared" si="13"/>
        <v>0</v>
      </c>
      <c r="W91">
        <f t="shared" si="14"/>
        <v>4</v>
      </c>
      <c r="X91" t="b">
        <f t="shared" si="15"/>
        <v>0</v>
      </c>
    </row>
    <row r="92" spans="1:24" x14ac:dyDescent="0.35">
      <c r="A92">
        <v>100091</v>
      </c>
      <c r="B92" s="1">
        <v>46190</v>
      </c>
      <c r="C92" t="s">
        <v>55</v>
      </c>
      <c r="D92" t="s">
        <v>56</v>
      </c>
      <c r="E92" t="s">
        <v>37</v>
      </c>
      <c r="F92" t="s">
        <v>44</v>
      </c>
      <c r="G92" t="s">
        <v>60</v>
      </c>
      <c r="H92" t="s">
        <v>135</v>
      </c>
      <c r="I92" t="s">
        <v>22</v>
      </c>
      <c r="J92">
        <v>2</v>
      </c>
      <c r="K92">
        <v>9000</v>
      </c>
      <c r="L92">
        <v>0.1</v>
      </c>
      <c r="M92">
        <v>16200</v>
      </c>
      <c r="N92">
        <v>3500</v>
      </c>
      <c r="O92" t="s">
        <v>23</v>
      </c>
      <c r="P92" t="s">
        <v>40</v>
      </c>
      <c r="Q92">
        <f t="shared" si="8"/>
        <v>16200</v>
      </c>
      <c r="R92">
        <f t="shared" si="9"/>
        <v>0</v>
      </c>
      <c r="S92">
        <f t="shared" si="10"/>
        <v>7000</v>
      </c>
      <c r="T92">
        <f t="shared" si="11"/>
        <v>9200</v>
      </c>
      <c r="U92">
        <f t="shared" si="12"/>
        <v>13</v>
      </c>
      <c r="V92" t="b">
        <f t="shared" si="13"/>
        <v>0</v>
      </c>
      <c r="W92">
        <f t="shared" si="14"/>
        <v>11</v>
      </c>
      <c r="X92" t="b">
        <f t="shared" si="15"/>
        <v>0</v>
      </c>
    </row>
    <row r="93" spans="1:24" x14ac:dyDescent="0.35">
      <c r="A93">
        <v>100092</v>
      </c>
      <c r="B93" s="1">
        <v>46153</v>
      </c>
      <c r="C93" t="s">
        <v>55</v>
      </c>
      <c r="D93" t="s">
        <v>56</v>
      </c>
      <c r="E93" t="s">
        <v>43</v>
      </c>
      <c r="F93" t="s">
        <v>19</v>
      </c>
      <c r="G93" t="s">
        <v>52</v>
      </c>
      <c r="H93" t="s">
        <v>125</v>
      </c>
      <c r="I93" t="s">
        <v>30</v>
      </c>
      <c r="J93">
        <v>4</v>
      </c>
      <c r="K93">
        <v>42000</v>
      </c>
      <c r="L93">
        <v>0.1</v>
      </c>
      <c r="M93">
        <v>166320</v>
      </c>
      <c r="N93">
        <v>28000</v>
      </c>
      <c r="O93" t="s">
        <v>23</v>
      </c>
      <c r="P93" t="s">
        <v>47</v>
      </c>
      <c r="Q93">
        <f t="shared" si="8"/>
        <v>151200</v>
      </c>
      <c r="R93">
        <f t="shared" si="9"/>
        <v>15120</v>
      </c>
      <c r="S93">
        <f t="shared" si="10"/>
        <v>112000</v>
      </c>
      <c r="T93">
        <f t="shared" si="11"/>
        <v>39200</v>
      </c>
      <c r="U93">
        <f t="shared" si="12"/>
        <v>13</v>
      </c>
      <c r="V93" t="b">
        <f t="shared" si="13"/>
        <v>0</v>
      </c>
      <c r="W93">
        <f t="shared" si="14"/>
        <v>4</v>
      </c>
      <c r="X93" t="b">
        <f t="shared" si="15"/>
        <v>0</v>
      </c>
    </row>
    <row r="94" spans="1:24" x14ac:dyDescent="0.35">
      <c r="A94">
        <v>100093</v>
      </c>
      <c r="B94" s="1">
        <v>46139</v>
      </c>
      <c r="C94" t="s">
        <v>32</v>
      </c>
      <c r="D94" t="s">
        <v>17</v>
      </c>
      <c r="E94" t="s">
        <v>43</v>
      </c>
      <c r="F94" t="s">
        <v>44</v>
      </c>
      <c r="G94" t="s">
        <v>60</v>
      </c>
      <c r="H94" t="s">
        <v>136</v>
      </c>
      <c r="I94" t="s">
        <v>30</v>
      </c>
      <c r="J94">
        <v>5</v>
      </c>
      <c r="K94">
        <v>9000</v>
      </c>
      <c r="L94">
        <v>0.2</v>
      </c>
      <c r="M94">
        <v>36000</v>
      </c>
      <c r="N94">
        <v>3500</v>
      </c>
      <c r="O94" t="s">
        <v>23</v>
      </c>
      <c r="P94" t="s">
        <v>54</v>
      </c>
      <c r="Q94">
        <f t="shared" si="8"/>
        <v>36000</v>
      </c>
      <c r="R94">
        <f t="shared" si="9"/>
        <v>0</v>
      </c>
      <c r="S94">
        <f t="shared" si="10"/>
        <v>17500</v>
      </c>
      <c r="T94">
        <f t="shared" si="11"/>
        <v>18500</v>
      </c>
      <c r="U94">
        <f t="shared" si="12"/>
        <v>5</v>
      </c>
      <c r="V94" t="b">
        <f t="shared" si="13"/>
        <v>0</v>
      </c>
      <c r="W94">
        <f t="shared" si="14"/>
        <v>11</v>
      </c>
      <c r="X94" t="b">
        <f t="shared" si="15"/>
        <v>0</v>
      </c>
    </row>
    <row r="95" spans="1:24" x14ac:dyDescent="0.35">
      <c r="A95">
        <v>100094</v>
      </c>
      <c r="B95" s="1">
        <v>46223</v>
      </c>
      <c r="C95" t="s">
        <v>42</v>
      </c>
      <c r="D95" t="s">
        <v>26</v>
      </c>
      <c r="E95" t="s">
        <v>43</v>
      </c>
      <c r="F95" t="s">
        <v>19</v>
      </c>
      <c r="G95" t="s">
        <v>52</v>
      </c>
      <c r="H95" t="s">
        <v>89</v>
      </c>
      <c r="I95" t="s">
        <v>30</v>
      </c>
      <c r="J95">
        <v>4</v>
      </c>
      <c r="K95">
        <v>42000</v>
      </c>
      <c r="L95">
        <v>0.05</v>
      </c>
      <c r="M95">
        <v>127680</v>
      </c>
      <c r="N95">
        <v>28000</v>
      </c>
      <c r="O95" t="s">
        <v>23</v>
      </c>
      <c r="P95" t="s">
        <v>54</v>
      </c>
      <c r="Q95">
        <f t="shared" si="8"/>
        <v>159600</v>
      </c>
      <c r="R95">
        <f t="shared" si="9"/>
        <v>-31920</v>
      </c>
      <c r="S95">
        <f t="shared" si="10"/>
        <v>112000</v>
      </c>
      <c r="T95">
        <f t="shared" si="11"/>
        <v>47600</v>
      </c>
      <c r="U95">
        <f t="shared" si="12"/>
        <v>5</v>
      </c>
      <c r="V95" t="b">
        <f t="shared" si="13"/>
        <v>0</v>
      </c>
      <c r="W95">
        <f t="shared" si="14"/>
        <v>4</v>
      </c>
      <c r="X95" t="b">
        <f t="shared" si="15"/>
        <v>0</v>
      </c>
    </row>
    <row r="96" spans="1:24" x14ac:dyDescent="0.35">
      <c r="A96">
        <v>100095</v>
      </c>
      <c r="B96" s="1">
        <v>46148</v>
      </c>
      <c r="C96" t="s">
        <v>25</v>
      </c>
      <c r="D96" t="s">
        <v>26</v>
      </c>
      <c r="E96" t="s">
        <v>37</v>
      </c>
      <c r="F96" t="s">
        <v>44</v>
      </c>
      <c r="G96" t="s">
        <v>60</v>
      </c>
      <c r="H96" t="s">
        <v>137</v>
      </c>
      <c r="I96" t="s">
        <v>22</v>
      </c>
      <c r="J96">
        <v>1</v>
      </c>
      <c r="K96">
        <v>9000</v>
      </c>
      <c r="L96">
        <v>0.05</v>
      </c>
      <c r="M96">
        <v>8550</v>
      </c>
      <c r="N96">
        <v>3500</v>
      </c>
      <c r="O96" t="s">
        <v>23</v>
      </c>
      <c r="P96" t="s">
        <v>84</v>
      </c>
      <c r="Q96">
        <f t="shared" si="8"/>
        <v>8550</v>
      </c>
      <c r="R96">
        <f t="shared" si="9"/>
        <v>0</v>
      </c>
      <c r="S96">
        <f t="shared" si="10"/>
        <v>3500</v>
      </c>
      <c r="T96">
        <f t="shared" si="11"/>
        <v>5050</v>
      </c>
      <c r="U96">
        <f t="shared" si="12"/>
        <v>5</v>
      </c>
      <c r="V96" t="b">
        <f t="shared" si="13"/>
        <v>0</v>
      </c>
      <c r="W96">
        <f t="shared" si="14"/>
        <v>11</v>
      </c>
      <c r="X96" t="b">
        <f t="shared" si="15"/>
        <v>0</v>
      </c>
    </row>
    <row r="97" spans="1:24" x14ac:dyDescent="0.35">
      <c r="A97">
        <v>100096</v>
      </c>
      <c r="B97" s="1">
        <v>46049</v>
      </c>
      <c r="C97" t="s">
        <v>16</v>
      </c>
      <c r="D97" t="s">
        <v>17</v>
      </c>
      <c r="E97" t="s">
        <v>37</v>
      </c>
      <c r="F97" t="s">
        <v>27</v>
      </c>
      <c r="G97" t="s">
        <v>38</v>
      </c>
      <c r="H97" t="s">
        <v>138</v>
      </c>
      <c r="I97" t="s">
        <v>30</v>
      </c>
      <c r="J97">
        <v>3</v>
      </c>
      <c r="K97">
        <v>26000</v>
      </c>
      <c r="L97">
        <v>0</v>
      </c>
      <c r="M97">
        <v>78000</v>
      </c>
      <c r="N97">
        <v>15000</v>
      </c>
      <c r="O97" t="s">
        <v>23</v>
      </c>
      <c r="P97" t="s">
        <v>58</v>
      </c>
      <c r="Q97">
        <f t="shared" si="8"/>
        <v>78000</v>
      </c>
      <c r="R97">
        <f t="shared" si="9"/>
        <v>0</v>
      </c>
      <c r="S97">
        <f t="shared" si="10"/>
        <v>45000</v>
      </c>
      <c r="T97">
        <f t="shared" si="11"/>
        <v>33000</v>
      </c>
      <c r="U97">
        <f t="shared" si="12"/>
        <v>5</v>
      </c>
      <c r="V97" t="b">
        <f t="shared" si="13"/>
        <v>0</v>
      </c>
      <c r="W97">
        <f t="shared" si="14"/>
        <v>11</v>
      </c>
      <c r="X97" t="b">
        <f t="shared" si="15"/>
        <v>0</v>
      </c>
    </row>
    <row r="98" spans="1:24" x14ac:dyDescent="0.35">
      <c r="A98">
        <v>100097</v>
      </c>
      <c r="B98" s="1">
        <v>46122</v>
      </c>
      <c r="C98" t="s">
        <v>55</v>
      </c>
      <c r="D98" t="s">
        <v>56</v>
      </c>
      <c r="E98" t="s">
        <v>43</v>
      </c>
      <c r="F98" t="s">
        <v>27</v>
      </c>
      <c r="G98" t="s">
        <v>38</v>
      </c>
      <c r="H98" t="s">
        <v>69</v>
      </c>
      <c r="I98" t="s">
        <v>30</v>
      </c>
      <c r="J98">
        <v>4</v>
      </c>
      <c r="K98">
        <v>26000</v>
      </c>
      <c r="L98">
        <v>0</v>
      </c>
      <c r="M98">
        <v>104000</v>
      </c>
      <c r="N98">
        <v>15000</v>
      </c>
      <c r="O98" t="s">
        <v>23</v>
      </c>
      <c r="P98" t="s">
        <v>47</v>
      </c>
      <c r="Q98">
        <f t="shared" si="8"/>
        <v>104000</v>
      </c>
      <c r="R98">
        <f t="shared" si="9"/>
        <v>0</v>
      </c>
      <c r="S98">
        <f t="shared" si="10"/>
        <v>60000</v>
      </c>
      <c r="T98">
        <f t="shared" si="11"/>
        <v>44000</v>
      </c>
      <c r="U98">
        <f t="shared" si="12"/>
        <v>13</v>
      </c>
      <c r="V98" t="b">
        <f t="shared" si="13"/>
        <v>0</v>
      </c>
      <c r="W98">
        <f t="shared" si="14"/>
        <v>11</v>
      </c>
      <c r="X98" t="b">
        <f t="shared" si="15"/>
        <v>0</v>
      </c>
    </row>
    <row r="99" spans="1:24" x14ac:dyDescent="0.35">
      <c r="A99">
        <v>100098</v>
      </c>
      <c r="B99" s="1">
        <v>46074</v>
      </c>
      <c r="C99" t="s">
        <v>25</v>
      </c>
      <c r="D99" t="s">
        <v>26</v>
      </c>
      <c r="E99" t="s">
        <v>37</v>
      </c>
      <c r="F99" t="s">
        <v>19</v>
      </c>
      <c r="G99" t="s">
        <v>52</v>
      </c>
      <c r="H99" t="s">
        <v>82</v>
      </c>
      <c r="I99" t="s">
        <v>22</v>
      </c>
      <c r="J99">
        <v>1</v>
      </c>
      <c r="K99">
        <v>42000</v>
      </c>
      <c r="L99">
        <v>0.05</v>
      </c>
      <c r="M99">
        <v>39900</v>
      </c>
      <c r="N99">
        <v>28000</v>
      </c>
      <c r="O99" t="s">
        <v>23</v>
      </c>
      <c r="P99" t="s">
        <v>54</v>
      </c>
      <c r="Q99">
        <f t="shared" si="8"/>
        <v>39900</v>
      </c>
      <c r="R99">
        <f t="shared" si="9"/>
        <v>0</v>
      </c>
      <c r="S99">
        <f t="shared" si="10"/>
        <v>28000</v>
      </c>
      <c r="T99">
        <f t="shared" si="11"/>
        <v>11900</v>
      </c>
      <c r="U99">
        <f t="shared" si="12"/>
        <v>5</v>
      </c>
      <c r="V99" t="b">
        <f t="shared" si="13"/>
        <v>0</v>
      </c>
      <c r="W99">
        <f t="shared" si="14"/>
        <v>4</v>
      </c>
      <c r="X99" t="b">
        <f t="shared" si="15"/>
        <v>0</v>
      </c>
    </row>
    <row r="100" spans="1:24" x14ac:dyDescent="0.35">
      <c r="A100">
        <v>100099</v>
      </c>
      <c r="B100" s="1">
        <v>46089</v>
      </c>
      <c r="C100" t="s">
        <v>25</v>
      </c>
      <c r="D100" t="s">
        <v>26</v>
      </c>
      <c r="E100" t="s">
        <v>43</v>
      </c>
      <c r="F100" t="s">
        <v>27</v>
      </c>
      <c r="G100" t="s">
        <v>33</v>
      </c>
      <c r="H100" t="s">
        <v>53</v>
      </c>
      <c r="I100" t="s">
        <v>22</v>
      </c>
      <c r="J100">
        <v>2</v>
      </c>
      <c r="K100">
        <v>32000</v>
      </c>
      <c r="L100">
        <v>0</v>
      </c>
      <c r="M100">
        <v>64000</v>
      </c>
      <c r="N100">
        <v>19000</v>
      </c>
      <c r="O100" t="s">
        <v>23</v>
      </c>
      <c r="P100" t="s">
        <v>54</v>
      </c>
      <c r="Q100">
        <f t="shared" si="8"/>
        <v>64000</v>
      </c>
      <c r="R100">
        <f t="shared" si="9"/>
        <v>0</v>
      </c>
      <c r="S100">
        <f t="shared" si="10"/>
        <v>38000</v>
      </c>
      <c r="T100">
        <f t="shared" si="11"/>
        <v>26000</v>
      </c>
      <c r="U100">
        <f t="shared" si="12"/>
        <v>5</v>
      </c>
      <c r="V100" t="b">
        <f t="shared" si="13"/>
        <v>0</v>
      </c>
      <c r="W100">
        <f t="shared" si="14"/>
        <v>11</v>
      </c>
      <c r="X100" t="b">
        <f t="shared" si="15"/>
        <v>0</v>
      </c>
    </row>
    <row r="101" spans="1:24" x14ac:dyDescent="0.35">
      <c r="A101">
        <v>100100</v>
      </c>
      <c r="B101" s="1">
        <v>46086</v>
      </c>
      <c r="C101" t="s">
        <v>42</v>
      </c>
      <c r="D101" t="s">
        <v>26</v>
      </c>
      <c r="E101" t="s">
        <v>43</v>
      </c>
      <c r="F101" t="s">
        <v>27</v>
      </c>
      <c r="G101" t="s">
        <v>33</v>
      </c>
      <c r="H101" t="s">
        <v>87</v>
      </c>
      <c r="I101" t="s">
        <v>22</v>
      </c>
      <c r="J101">
        <v>3</v>
      </c>
      <c r="K101">
        <v>32000</v>
      </c>
      <c r="L101">
        <v>0.05</v>
      </c>
      <c r="M101">
        <v>91200</v>
      </c>
      <c r="N101">
        <v>19000</v>
      </c>
      <c r="O101" t="s">
        <v>23</v>
      </c>
      <c r="P101" t="s">
        <v>64</v>
      </c>
      <c r="Q101">
        <f t="shared" si="8"/>
        <v>91200</v>
      </c>
      <c r="R101">
        <f t="shared" si="9"/>
        <v>0</v>
      </c>
      <c r="S101">
        <f t="shared" si="10"/>
        <v>57000</v>
      </c>
      <c r="T101">
        <f t="shared" si="11"/>
        <v>34200</v>
      </c>
      <c r="U101">
        <f t="shared" si="12"/>
        <v>5</v>
      </c>
      <c r="V101" t="b">
        <f t="shared" si="13"/>
        <v>0</v>
      </c>
      <c r="W101">
        <f t="shared" si="14"/>
        <v>11</v>
      </c>
      <c r="X101" t="b">
        <f t="shared" si="15"/>
        <v>0</v>
      </c>
    </row>
    <row r="102" spans="1:24" x14ac:dyDescent="0.35">
      <c r="A102">
        <v>100101</v>
      </c>
      <c r="B102" s="1">
        <v>46213</v>
      </c>
      <c r="C102" t="s">
        <v>16</v>
      </c>
      <c r="D102" t="s">
        <v>17</v>
      </c>
      <c r="E102" t="s">
        <v>43</v>
      </c>
      <c r="F102" t="s">
        <v>44</v>
      </c>
      <c r="G102" t="s">
        <v>60</v>
      </c>
      <c r="H102" t="s">
        <v>139</v>
      </c>
      <c r="I102" t="s">
        <v>30</v>
      </c>
      <c r="J102">
        <v>5</v>
      </c>
      <c r="K102">
        <v>9000</v>
      </c>
      <c r="L102">
        <v>0.05</v>
      </c>
      <c r="M102">
        <v>42750</v>
      </c>
      <c r="N102">
        <v>3500</v>
      </c>
      <c r="O102" t="s">
        <v>23</v>
      </c>
      <c r="P102" t="s">
        <v>24</v>
      </c>
      <c r="Q102">
        <f t="shared" si="8"/>
        <v>42750</v>
      </c>
      <c r="R102">
        <f t="shared" si="9"/>
        <v>0</v>
      </c>
      <c r="S102">
        <f t="shared" si="10"/>
        <v>17500</v>
      </c>
      <c r="T102">
        <f t="shared" si="11"/>
        <v>25250</v>
      </c>
      <c r="U102">
        <f t="shared" si="12"/>
        <v>5</v>
      </c>
      <c r="V102" t="b">
        <f t="shared" si="13"/>
        <v>0</v>
      </c>
      <c r="W102">
        <f t="shared" si="14"/>
        <v>11</v>
      </c>
      <c r="X102" t="b">
        <f t="shared" si="15"/>
        <v>0</v>
      </c>
    </row>
    <row r="103" spans="1:24" x14ac:dyDescent="0.35">
      <c r="A103">
        <v>100102</v>
      </c>
      <c r="B103" s="1">
        <v>46199</v>
      </c>
      <c r="C103" t="s">
        <v>42</v>
      </c>
      <c r="D103" t="s">
        <v>26</v>
      </c>
      <c r="E103" t="s">
        <v>18</v>
      </c>
      <c r="F103" t="s">
        <v>19</v>
      </c>
      <c r="G103" t="s">
        <v>62</v>
      </c>
      <c r="H103" t="s">
        <v>140</v>
      </c>
      <c r="I103" t="s">
        <v>30</v>
      </c>
      <c r="J103">
        <v>2</v>
      </c>
      <c r="K103">
        <v>24000</v>
      </c>
      <c r="L103">
        <v>0</v>
      </c>
      <c r="M103">
        <v>48000</v>
      </c>
      <c r="N103">
        <v>15000</v>
      </c>
      <c r="O103" t="s">
        <v>23</v>
      </c>
      <c r="P103" t="s">
        <v>64</v>
      </c>
      <c r="Q103">
        <f t="shared" si="8"/>
        <v>48000</v>
      </c>
      <c r="R103">
        <f t="shared" si="9"/>
        <v>0</v>
      </c>
      <c r="S103">
        <f t="shared" si="10"/>
        <v>30000</v>
      </c>
      <c r="T103">
        <f t="shared" si="11"/>
        <v>18000</v>
      </c>
      <c r="U103">
        <f t="shared" si="12"/>
        <v>5</v>
      </c>
      <c r="V103" t="b">
        <f t="shared" si="13"/>
        <v>0</v>
      </c>
      <c r="W103">
        <f t="shared" si="14"/>
        <v>4</v>
      </c>
      <c r="X103" t="b">
        <f t="shared" si="15"/>
        <v>0</v>
      </c>
    </row>
    <row r="104" spans="1:24" x14ac:dyDescent="0.35">
      <c r="A104">
        <v>100103</v>
      </c>
      <c r="B104" s="1">
        <v>46193</v>
      </c>
      <c r="C104" t="s">
        <v>32</v>
      </c>
      <c r="D104" t="s">
        <v>17</v>
      </c>
      <c r="E104" t="s">
        <v>37</v>
      </c>
      <c r="F104" t="s">
        <v>27</v>
      </c>
      <c r="G104" t="s">
        <v>28</v>
      </c>
      <c r="H104" t="s">
        <v>141</v>
      </c>
      <c r="I104" t="s">
        <v>22</v>
      </c>
      <c r="J104">
        <v>1</v>
      </c>
      <c r="K104">
        <v>165000</v>
      </c>
      <c r="L104">
        <v>0</v>
      </c>
      <c r="M104">
        <v>165000</v>
      </c>
      <c r="N104">
        <v>112000</v>
      </c>
      <c r="O104" t="s">
        <v>76</v>
      </c>
      <c r="P104" t="s">
        <v>47</v>
      </c>
      <c r="Q104">
        <f t="shared" si="8"/>
        <v>165000</v>
      </c>
      <c r="R104">
        <f t="shared" si="9"/>
        <v>0</v>
      </c>
      <c r="S104">
        <f t="shared" si="10"/>
        <v>112000</v>
      </c>
      <c r="T104">
        <f t="shared" si="11"/>
        <v>53000</v>
      </c>
      <c r="U104">
        <f t="shared" si="12"/>
        <v>5</v>
      </c>
      <c r="V104" t="b">
        <f t="shared" si="13"/>
        <v>0</v>
      </c>
      <c r="W104">
        <f t="shared" si="14"/>
        <v>11</v>
      </c>
      <c r="X104" t="b">
        <f t="shared" si="15"/>
        <v>0</v>
      </c>
    </row>
    <row r="105" spans="1:24" x14ac:dyDescent="0.35">
      <c r="A105">
        <v>100104</v>
      </c>
      <c r="B105" s="1">
        <v>46066</v>
      </c>
      <c r="C105" t="s">
        <v>25</v>
      </c>
      <c r="D105" t="s">
        <v>26</v>
      </c>
      <c r="E105" t="s">
        <v>43</v>
      </c>
      <c r="F105" t="s">
        <v>27</v>
      </c>
      <c r="G105" t="s">
        <v>28</v>
      </c>
      <c r="H105" t="s">
        <v>142</v>
      </c>
      <c r="I105" t="s">
        <v>22</v>
      </c>
      <c r="J105">
        <v>3</v>
      </c>
      <c r="K105">
        <v>165000</v>
      </c>
      <c r="L105">
        <v>0</v>
      </c>
      <c r="M105">
        <v>495000</v>
      </c>
      <c r="N105">
        <v>112000</v>
      </c>
      <c r="O105" t="s">
        <v>23</v>
      </c>
      <c r="P105" t="s">
        <v>40</v>
      </c>
      <c r="Q105">
        <f t="shared" si="8"/>
        <v>495000</v>
      </c>
      <c r="R105">
        <f t="shared" si="9"/>
        <v>0</v>
      </c>
      <c r="S105">
        <f t="shared" si="10"/>
        <v>336000</v>
      </c>
      <c r="T105">
        <f t="shared" si="11"/>
        <v>159000</v>
      </c>
      <c r="U105">
        <f t="shared" si="12"/>
        <v>5</v>
      </c>
      <c r="V105" t="b">
        <f t="shared" si="13"/>
        <v>0</v>
      </c>
      <c r="W105">
        <f t="shared" si="14"/>
        <v>11</v>
      </c>
      <c r="X105" t="b">
        <f t="shared" si="15"/>
        <v>0</v>
      </c>
    </row>
    <row r="106" spans="1:24" x14ac:dyDescent="0.35">
      <c r="A106">
        <v>100105</v>
      </c>
      <c r="B106" s="1">
        <v>46177</v>
      </c>
      <c r="C106" t="s">
        <v>50</v>
      </c>
      <c r="D106" t="s">
        <v>51</v>
      </c>
      <c r="E106" t="s">
        <v>18</v>
      </c>
      <c r="F106" t="s">
        <v>19</v>
      </c>
      <c r="G106" t="s">
        <v>20</v>
      </c>
      <c r="H106" t="s">
        <v>143</v>
      </c>
      <c r="I106" t="s">
        <v>22</v>
      </c>
      <c r="J106">
        <v>2</v>
      </c>
      <c r="K106">
        <v>58000</v>
      </c>
      <c r="L106">
        <v>0</v>
      </c>
      <c r="M106">
        <v>116000</v>
      </c>
      <c r="N106">
        <v>39000</v>
      </c>
      <c r="O106" t="s">
        <v>23</v>
      </c>
      <c r="P106" t="s">
        <v>58</v>
      </c>
      <c r="Q106">
        <f t="shared" si="8"/>
        <v>116000</v>
      </c>
      <c r="R106">
        <f t="shared" si="9"/>
        <v>0</v>
      </c>
      <c r="S106">
        <f t="shared" si="10"/>
        <v>78000</v>
      </c>
      <c r="T106">
        <f t="shared" si="11"/>
        <v>38000</v>
      </c>
      <c r="U106">
        <f t="shared" si="12"/>
        <v>6</v>
      </c>
      <c r="V106" t="b">
        <f t="shared" si="13"/>
        <v>0</v>
      </c>
      <c r="W106">
        <f t="shared" si="14"/>
        <v>4</v>
      </c>
      <c r="X106" t="b">
        <f t="shared" si="15"/>
        <v>0</v>
      </c>
    </row>
    <row r="107" spans="1:24" x14ac:dyDescent="0.35">
      <c r="A107">
        <v>100106</v>
      </c>
      <c r="B107" s="1">
        <v>46082</v>
      </c>
      <c r="C107" t="s">
        <v>50</v>
      </c>
      <c r="D107" t="s">
        <v>51</v>
      </c>
      <c r="E107" t="s">
        <v>43</v>
      </c>
      <c r="F107" t="s">
        <v>19</v>
      </c>
      <c r="G107" t="s">
        <v>52</v>
      </c>
      <c r="H107" t="s">
        <v>144</v>
      </c>
      <c r="I107" t="s">
        <v>30</v>
      </c>
      <c r="J107">
        <v>5</v>
      </c>
      <c r="K107">
        <v>42000</v>
      </c>
      <c r="L107">
        <v>0.05</v>
      </c>
      <c r="M107">
        <v>199500</v>
      </c>
      <c r="N107">
        <v>28000</v>
      </c>
      <c r="O107" t="s">
        <v>23</v>
      </c>
      <c r="P107" t="s">
        <v>31</v>
      </c>
      <c r="Q107">
        <f t="shared" si="8"/>
        <v>199500</v>
      </c>
      <c r="R107">
        <f t="shared" si="9"/>
        <v>0</v>
      </c>
      <c r="S107">
        <f t="shared" si="10"/>
        <v>140000</v>
      </c>
      <c r="T107">
        <f t="shared" si="11"/>
        <v>59500</v>
      </c>
      <c r="U107">
        <f t="shared" si="12"/>
        <v>6</v>
      </c>
      <c r="V107" t="b">
        <f t="shared" si="13"/>
        <v>0</v>
      </c>
      <c r="W107">
        <f t="shared" si="14"/>
        <v>4</v>
      </c>
      <c r="X107" t="b">
        <f t="shared" si="15"/>
        <v>0</v>
      </c>
    </row>
    <row r="108" spans="1:24" x14ac:dyDescent="0.35">
      <c r="A108">
        <v>100107</v>
      </c>
      <c r="B108" s="1">
        <v>46049</v>
      </c>
      <c r="C108" t="s">
        <v>55</v>
      </c>
      <c r="D108" t="s">
        <v>56</v>
      </c>
      <c r="E108" t="s">
        <v>43</v>
      </c>
      <c r="F108" t="s">
        <v>19</v>
      </c>
      <c r="G108" t="s">
        <v>20</v>
      </c>
      <c r="H108" t="s">
        <v>39</v>
      </c>
      <c r="I108" t="s">
        <v>30</v>
      </c>
      <c r="J108">
        <v>1</v>
      </c>
      <c r="K108">
        <v>58000</v>
      </c>
      <c r="L108">
        <v>0.1</v>
      </c>
      <c r="M108">
        <v>52200</v>
      </c>
      <c r="N108">
        <v>39000</v>
      </c>
      <c r="O108" t="s">
        <v>23</v>
      </c>
      <c r="P108" t="s">
        <v>84</v>
      </c>
      <c r="Q108">
        <f t="shared" si="8"/>
        <v>52200</v>
      </c>
      <c r="R108">
        <f t="shared" si="9"/>
        <v>0</v>
      </c>
      <c r="S108">
        <f t="shared" si="10"/>
        <v>39000</v>
      </c>
      <c r="T108">
        <f t="shared" si="11"/>
        <v>13200</v>
      </c>
      <c r="U108">
        <f t="shared" si="12"/>
        <v>13</v>
      </c>
      <c r="V108" t="b">
        <f t="shared" si="13"/>
        <v>0</v>
      </c>
      <c r="W108">
        <f t="shared" si="14"/>
        <v>4</v>
      </c>
      <c r="X108" t="b">
        <f t="shared" si="15"/>
        <v>0</v>
      </c>
    </row>
    <row r="109" spans="1:24" x14ac:dyDescent="0.35">
      <c r="A109">
        <v>100108</v>
      </c>
      <c r="B109" s="1">
        <v>46164</v>
      </c>
      <c r="C109" t="s">
        <v>16</v>
      </c>
      <c r="D109" t="s">
        <v>17</v>
      </c>
      <c r="E109" t="s">
        <v>43</v>
      </c>
      <c r="F109" t="s">
        <v>44</v>
      </c>
      <c r="G109" t="s">
        <v>45</v>
      </c>
      <c r="H109" t="s">
        <v>145</v>
      </c>
      <c r="I109" t="s">
        <v>30</v>
      </c>
      <c r="J109">
        <v>1</v>
      </c>
      <c r="K109">
        <v>6500</v>
      </c>
      <c r="L109">
        <v>0.15</v>
      </c>
      <c r="M109">
        <v>5525</v>
      </c>
      <c r="N109">
        <v>2200</v>
      </c>
      <c r="O109" t="s">
        <v>23</v>
      </c>
      <c r="P109" t="s">
        <v>58</v>
      </c>
      <c r="Q109">
        <f t="shared" si="8"/>
        <v>5525</v>
      </c>
      <c r="R109">
        <f t="shared" si="9"/>
        <v>0</v>
      </c>
      <c r="S109">
        <f t="shared" si="10"/>
        <v>2200</v>
      </c>
      <c r="T109">
        <f t="shared" si="11"/>
        <v>3325</v>
      </c>
      <c r="U109">
        <f t="shared" si="12"/>
        <v>5</v>
      </c>
      <c r="V109" t="b">
        <f t="shared" si="13"/>
        <v>0</v>
      </c>
      <c r="W109">
        <f t="shared" si="14"/>
        <v>11</v>
      </c>
      <c r="X109" t="b">
        <f t="shared" si="15"/>
        <v>0</v>
      </c>
    </row>
    <row r="110" spans="1:24" x14ac:dyDescent="0.35">
      <c r="A110">
        <v>100109</v>
      </c>
      <c r="B110" s="1">
        <v>46234</v>
      </c>
      <c r="C110" t="s">
        <v>16</v>
      </c>
      <c r="D110" t="s">
        <v>17</v>
      </c>
      <c r="E110" t="s">
        <v>18</v>
      </c>
      <c r="F110" t="s">
        <v>44</v>
      </c>
      <c r="G110" t="s">
        <v>60</v>
      </c>
      <c r="H110" t="s">
        <v>146</v>
      </c>
      <c r="I110" t="s">
        <v>30</v>
      </c>
      <c r="J110">
        <v>2</v>
      </c>
      <c r="K110">
        <v>9000</v>
      </c>
      <c r="L110">
        <v>0.15</v>
      </c>
      <c r="M110">
        <v>15300</v>
      </c>
      <c r="N110">
        <v>3500</v>
      </c>
      <c r="O110" t="s">
        <v>23</v>
      </c>
      <c r="P110" t="s">
        <v>54</v>
      </c>
      <c r="Q110">
        <f t="shared" si="8"/>
        <v>15300</v>
      </c>
      <c r="R110">
        <f t="shared" si="9"/>
        <v>0</v>
      </c>
      <c r="S110">
        <f t="shared" si="10"/>
        <v>7000</v>
      </c>
      <c r="T110">
        <f t="shared" si="11"/>
        <v>8300</v>
      </c>
      <c r="U110">
        <f t="shared" si="12"/>
        <v>5</v>
      </c>
      <c r="V110" t="b">
        <f t="shared" si="13"/>
        <v>0</v>
      </c>
      <c r="W110">
        <f t="shared" si="14"/>
        <v>11</v>
      </c>
      <c r="X110" t="b">
        <f t="shared" si="15"/>
        <v>0</v>
      </c>
    </row>
    <row r="111" spans="1:24" x14ac:dyDescent="0.35">
      <c r="A111">
        <v>100110</v>
      </c>
      <c r="B111" s="1">
        <v>46216</v>
      </c>
      <c r="C111" t="s">
        <v>42</v>
      </c>
      <c r="D111" t="s">
        <v>26</v>
      </c>
      <c r="E111" t="s">
        <v>43</v>
      </c>
      <c r="F111" t="s">
        <v>19</v>
      </c>
      <c r="G111" t="s">
        <v>52</v>
      </c>
      <c r="H111" t="s">
        <v>127</v>
      </c>
      <c r="I111" t="s">
        <v>22</v>
      </c>
      <c r="J111">
        <v>1</v>
      </c>
      <c r="K111">
        <v>42000</v>
      </c>
      <c r="L111">
        <v>0</v>
      </c>
      <c r="M111">
        <v>42000</v>
      </c>
      <c r="N111">
        <v>28000</v>
      </c>
      <c r="O111" t="s">
        <v>23</v>
      </c>
      <c r="P111" t="s">
        <v>58</v>
      </c>
      <c r="Q111">
        <f t="shared" si="8"/>
        <v>42000</v>
      </c>
      <c r="R111">
        <f t="shared" si="9"/>
        <v>0</v>
      </c>
      <c r="S111">
        <f t="shared" si="10"/>
        <v>28000</v>
      </c>
      <c r="T111">
        <f t="shared" si="11"/>
        <v>14000</v>
      </c>
      <c r="U111">
        <f t="shared" si="12"/>
        <v>5</v>
      </c>
      <c r="V111" t="b">
        <f t="shared" si="13"/>
        <v>0</v>
      </c>
      <c r="W111">
        <f t="shared" si="14"/>
        <v>4</v>
      </c>
      <c r="X111" t="b">
        <f t="shared" si="15"/>
        <v>0</v>
      </c>
    </row>
    <row r="112" spans="1:24" x14ac:dyDescent="0.35">
      <c r="A112">
        <v>100111</v>
      </c>
      <c r="B112" s="1">
        <v>46234</v>
      </c>
      <c r="C112" t="s">
        <v>42</v>
      </c>
      <c r="D112" t="s">
        <v>26</v>
      </c>
      <c r="E112" t="s">
        <v>43</v>
      </c>
      <c r="F112" t="s">
        <v>44</v>
      </c>
      <c r="G112" t="s">
        <v>65</v>
      </c>
      <c r="H112" t="s">
        <v>147</v>
      </c>
      <c r="I112" t="s">
        <v>30</v>
      </c>
      <c r="J112">
        <v>1</v>
      </c>
      <c r="K112">
        <v>28000</v>
      </c>
      <c r="L112">
        <v>0.05</v>
      </c>
      <c r="M112">
        <v>26600</v>
      </c>
      <c r="N112">
        <v>16000</v>
      </c>
      <c r="O112" t="s">
        <v>23</v>
      </c>
      <c r="P112" t="s">
        <v>54</v>
      </c>
      <c r="Q112">
        <f t="shared" si="8"/>
        <v>26600</v>
      </c>
      <c r="R112">
        <f t="shared" si="9"/>
        <v>0</v>
      </c>
      <c r="S112">
        <f t="shared" si="10"/>
        <v>16000</v>
      </c>
      <c r="T112">
        <f t="shared" si="11"/>
        <v>10600</v>
      </c>
      <c r="U112">
        <f t="shared" si="12"/>
        <v>5</v>
      </c>
      <c r="V112" t="b">
        <f t="shared" si="13"/>
        <v>0</v>
      </c>
      <c r="W112">
        <f t="shared" si="14"/>
        <v>11</v>
      </c>
      <c r="X112" t="b">
        <f t="shared" si="15"/>
        <v>0</v>
      </c>
    </row>
    <row r="113" spans="1:24" x14ac:dyDescent="0.35">
      <c r="A113">
        <v>100112</v>
      </c>
      <c r="B113" s="1">
        <v>46048</v>
      </c>
      <c r="C113" t="s">
        <v>35</v>
      </c>
      <c r="D113" t="s">
        <v>36</v>
      </c>
      <c r="E113" t="s">
        <v>43</v>
      </c>
      <c r="F113" t="s">
        <v>27</v>
      </c>
      <c r="G113" t="s">
        <v>38</v>
      </c>
      <c r="H113" t="s">
        <v>148</v>
      </c>
      <c r="I113" t="s">
        <v>22</v>
      </c>
      <c r="J113">
        <v>2</v>
      </c>
      <c r="K113">
        <v>26000</v>
      </c>
      <c r="L113">
        <v>0.1</v>
      </c>
      <c r="M113">
        <v>46800</v>
      </c>
      <c r="N113">
        <v>15000</v>
      </c>
      <c r="O113" t="s">
        <v>23</v>
      </c>
      <c r="P113" t="s">
        <v>24</v>
      </c>
      <c r="Q113">
        <f t="shared" si="8"/>
        <v>46800</v>
      </c>
      <c r="R113">
        <f t="shared" si="9"/>
        <v>0</v>
      </c>
      <c r="S113">
        <f t="shared" si="10"/>
        <v>30000</v>
      </c>
      <c r="T113">
        <f t="shared" si="11"/>
        <v>16800</v>
      </c>
      <c r="U113">
        <f t="shared" si="12"/>
        <v>4</v>
      </c>
      <c r="V113" t="b">
        <f t="shared" si="13"/>
        <v>0</v>
      </c>
      <c r="W113">
        <f t="shared" si="14"/>
        <v>11</v>
      </c>
      <c r="X113" t="b">
        <f t="shared" si="15"/>
        <v>0</v>
      </c>
    </row>
    <row r="114" spans="1:24" x14ac:dyDescent="0.35">
      <c r="A114">
        <v>100113</v>
      </c>
      <c r="B114" s="1">
        <v>46065</v>
      </c>
      <c r="C114" t="s">
        <v>16</v>
      </c>
      <c r="D114" t="s">
        <v>17</v>
      </c>
      <c r="E114" t="s">
        <v>43</v>
      </c>
      <c r="F114" t="s">
        <v>19</v>
      </c>
      <c r="G114" t="s">
        <v>20</v>
      </c>
      <c r="H114" t="s">
        <v>112</v>
      </c>
      <c r="I114" t="s">
        <v>22</v>
      </c>
      <c r="J114">
        <v>3</v>
      </c>
      <c r="K114">
        <v>58000</v>
      </c>
      <c r="L114">
        <v>0.05</v>
      </c>
      <c r="M114">
        <v>165300</v>
      </c>
      <c r="N114">
        <v>39000</v>
      </c>
      <c r="O114" t="s">
        <v>23</v>
      </c>
      <c r="P114" t="s">
        <v>31</v>
      </c>
      <c r="Q114">
        <f t="shared" si="8"/>
        <v>165300</v>
      </c>
      <c r="R114">
        <f t="shared" si="9"/>
        <v>0</v>
      </c>
      <c r="S114">
        <f t="shared" si="10"/>
        <v>117000</v>
      </c>
      <c r="T114">
        <f t="shared" si="11"/>
        <v>48300</v>
      </c>
      <c r="U114">
        <f t="shared" si="12"/>
        <v>5</v>
      </c>
      <c r="V114" t="b">
        <f t="shared" si="13"/>
        <v>0</v>
      </c>
      <c r="W114">
        <f t="shared" si="14"/>
        <v>4</v>
      </c>
      <c r="X114" t="b">
        <f t="shared" si="15"/>
        <v>0</v>
      </c>
    </row>
    <row r="115" spans="1:24" x14ac:dyDescent="0.35">
      <c r="A115">
        <v>100114</v>
      </c>
      <c r="B115" s="1">
        <v>46194</v>
      </c>
      <c r="C115" t="s">
        <v>32</v>
      </c>
      <c r="D115" t="s">
        <v>17</v>
      </c>
      <c r="E115" t="s">
        <v>37</v>
      </c>
      <c r="F115" t="s">
        <v>44</v>
      </c>
      <c r="G115" t="s">
        <v>45</v>
      </c>
      <c r="H115" t="s">
        <v>91</v>
      </c>
      <c r="I115" t="s">
        <v>30</v>
      </c>
      <c r="J115">
        <v>2</v>
      </c>
      <c r="K115">
        <v>6500</v>
      </c>
      <c r="L115">
        <v>0.25</v>
      </c>
      <c r="M115">
        <v>9750</v>
      </c>
      <c r="N115">
        <v>2200</v>
      </c>
      <c r="O115" t="s">
        <v>23</v>
      </c>
      <c r="P115" t="s">
        <v>24</v>
      </c>
      <c r="Q115">
        <f t="shared" si="8"/>
        <v>9750</v>
      </c>
      <c r="R115">
        <f t="shared" si="9"/>
        <v>0</v>
      </c>
      <c r="S115">
        <f t="shared" si="10"/>
        <v>4400</v>
      </c>
      <c r="T115">
        <f t="shared" si="11"/>
        <v>5350</v>
      </c>
      <c r="U115">
        <f t="shared" si="12"/>
        <v>5</v>
      </c>
      <c r="V115" t="b">
        <f t="shared" si="13"/>
        <v>0</v>
      </c>
      <c r="W115">
        <f t="shared" si="14"/>
        <v>11</v>
      </c>
      <c r="X115" t="b">
        <f t="shared" si="15"/>
        <v>0</v>
      </c>
    </row>
    <row r="116" spans="1:24" x14ac:dyDescent="0.35">
      <c r="A116">
        <v>100115</v>
      </c>
      <c r="B116" s="1">
        <v>46112</v>
      </c>
      <c r="C116" t="s">
        <v>42</v>
      </c>
      <c r="D116" t="s">
        <v>26</v>
      </c>
      <c r="E116" t="s">
        <v>37</v>
      </c>
      <c r="F116" t="s">
        <v>27</v>
      </c>
      <c r="G116" t="s">
        <v>38</v>
      </c>
      <c r="H116" t="s">
        <v>149</v>
      </c>
      <c r="I116" t="s">
        <v>22</v>
      </c>
      <c r="J116">
        <v>2</v>
      </c>
      <c r="K116">
        <v>26000</v>
      </c>
      <c r="L116">
        <v>0.1</v>
      </c>
      <c r="M116">
        <v>46800</v>
      </c>
      <c r="N116">
        <v>15000</v>
      </c>
      <c r="O116" t="s">
        <v>23</v>
      </c>
      <c r="P116" t="s">
        <v>84</v>
      </c>
      <c r="Q116">
        <f t="shared" si="8"/>
        <v>46800</v>
      </c>
      <c r="R116">
        <f t="shared" si="9"/>
        <v>0</v>
      </c>
      <c r="S116">
        <f t="shared" si="10"/>
        <v>30000</v>
      </c>
      <c r="T116">
        <f t="shared" si="11"/>
        <v>16800</v>
      </c>
      <c r="U116">
        <f t="shared" si="12"/>
        <v>5</v>
      </c>
      <c r="V116" t="b">
        <f t="shared" si="13"/>
        <v>0</v>
      </c>
      <c r="W116">
        <f t="shared" si="14"/>
        <v>11</v>
      </c>
      <c r="X116" t="b">
        <f t="shared" si="15"/>
        <v>0</v>
      </c>
    </row>
    <row r="117" spans="1:24" x14ac:dyDescent="0.35">
      <c r="A117">
        <v>100116</v>
      </c>
      <c r="B117" s="1">
        <v>46056</v>
      </c>
      <c r="C117" t="s">
        <v>55</v>
      </c>
      <c r="D117" t="s">
        <v>56</v>
      </c>
      <c r="E117" t="s">
        <v>43</v>
      </c>
      <c r="F117" t="s">
        <v>44</v>
      </c>
      <c r="G117" t="s">
        <v>65</v>
      </c>
      <c r="H117" t="s">
        <v>107</v>
      </c>
      <c r="I117" t="s">
        <v>30</v>
      </c>
      <c r="J117">
        <v>5</v>
      </c>
      <c r="K117">
        <v>28000</v>
      </c>
      <c r="L117">
        <v>0</v>
      </c>
      <c r="M117">
        <v>140000</v>
      </c>
      <c r="N117">
        <v>16000</v>
      </c>
      <c r="O117" t="s">
        <v>23</v>
      </c>
      <c r="P117" t="s">
        <v>31</v>
      </c>
      <c r="Q117">
        <f t="shared" si="8"/>
        <v>140000</v>
      </c>
      <c r="R117">
        <f t="shared" si="9"/>
        <v>0</v>
      </c>
      <c r="S117">
        <f t="shared" si="10"/>
        <v>80000</v>
      </c>
      <c r="T117">
        <f t="shared" si="11"/>
        <v>60000</v>
      </c>
      <c r="U117">
        <f t="shared" si="12"/>
        <v>13</v>
      </c>
      <c r="V117" t="b">
        <f t="shared" si="13"/>
        <v>0</v>
      </c>
      <c r="W117">
        <f t="shared" si="14"/>
        <v>11</v>
      </c>
      <c r="X117" t="b">
        <f t="shared" si="15"/>
        <v>0</v>
      </c>
    </row>
    <row r="118" spans="1:24" x14ac:dyDescent="0.35">
      <c r="A118">
        <v>100117</v>
      </c>
      <c r="B118" s="1">
        <v>46122</v>
      </c>
      <c r="C118" t="s">
        <v>42</v>
      </c>
      <c r="D118" t="s">
        <v>26</v>
      </c>
      <c r="E118" t="s">
        <v>43</v>
      </c>
      <c r="F118" t="s">
        <v>44</v>
      </c>
      <c r="G118" t="s">
        <v>60</v>
      </c>
      <c r="H118" t="s">
        <v>113</v>
      </c>
      <c r="I118" t="s">
        <v>22</v>
      </c>
      <c r="J118">
        <v>4</v>
      </c>
      <c r="K118">
        <v>9000</v>
      </c>
      <c r="L118">
        <v>0</v>
      </c>
      <c r="M118">
        <v>36000</v>
      </c>
      <c r="N118">
        <v>3500</v>
      </c>
      <c r="O118" t="s">
        <v>23</v>
      </c>
      <c r="P118" t="s">
        <v>64</v>
      </c>
      <c r="Q118">
        <f t="shared" si="8"/>
        <v>36000</v>
      </c>
      <c r="R118">
        <f t="shared" si="9"/>
        <v>0</v>
      </c>
      <c r="S118">
        <f t="shared" si="10"/>
        <v>14000</v>
      </c>
      <c r="T118">
        <f t="shared" si="11"/>
        <v>22000</v>
      </c>
      <c r="U118">
        <f t="shared" si="12"/>
        <v>5</v>
      </c>
      <c r="V118" t="b">
        <f t="shared" si="13"/>
        <v>0</v>
      </c>
      <c r="W118">
        <f t="shared" si="14"/>
        <v>11</v>
      </c>
      <c r="X118" t="b">
        <f t="shared" si="15"/>
        <v>0</v>
      </c>
    </row>
    <row r="119" spans="1:24" x14ac:dyDescent="0.35">
      <c r="A119">
        <v>100118</v>
      </c>
      <c r="B119" s="1">
        <v>46260</v>
      </c>
      <c r="C119" t="s">
        <v>50</v>
      </c>
      <c r="D119" t="s">
        <v>51</v>
      </c>
      <c r="E119" t="s">
        <v>18</v>
      </c>
      <c r="F119" t="s">
        <v>27</v>
      </c>
      <c r="G119" t="s">
        <v>38</v>
      </c>
      <c r="H119" t="s">
        <v>87</v>
      </c>
      <c r="I119" t="s">
        <v>22</v>
      </c>
      <c r="J119">
        <v>3</v>
      </c>
      <c r="K119">
        <v>26000</v>
      </c>
      <c r="L119">
        <v>0</v>
      </c>
      <c r="M119">
        <v>78000</v>
      </c>
      <c r="N119">
        <v>15000</v>
      </c>
      <c r="O119" t="s">
        <v>23</v>
      </c>
      <c r="P119" t="s">
        <v>58</v>
      </c>
      <c r="Q119">
        <f t="shared" si="8"/>
        <v>78000</v>
      </c>
      <c r="R119">
        <f t="shared" si="9"/>
        <v>0</v>
      </c>
      <c r="S119">
        <f t="shared" si="10"/>
        <v>45000</v>
      </c>
      <c r="T119">
        <f t="shared" si="11"/>
        <v>33000</v>
      </c>
      <c r="U119">
        <f t="shared" si="12"/>
        <v>6</v>
      </c>
      <c r="V119" t="b">
        <f t="shared" si="13"/>
        <v>0</v>
      </c>
      <c r="W119">
        <f t="shared" si="14"/>
        <v>11</v>
      </c>
      <c r="X119" t="b">
        <f t="shared" si="15"/>
        <v>0</v>
      </c>
    </row>
    <row r="120" spans="1:24" x14ac:dyDescent="0.35">
      <c r="A120">
        <v>100119</v>
      </c>
      <c r="B120" s="1">
        <v>46201</v>
      </c>
      <c r="C120" t="s">
        <v>42</v>
      </c>
      <c r="D120" t="s">
        <v>26</v>
      </c>
      <c r="E120" t="s">
        <v>18</v>
      </c>
      <c r="F120" t="s">
        <v>44</v>
      </c>
      <c r="G120" t="s">
        <v>60</v>
      </c>
      <c r="H120" t="s">
        <v>59</v>
      </c>
      <c r="I120" t="s">
        <v>30</v>
      </c>
      <c r="J120">
        <v>4</v>
      </c>
      <c r="K120">
        <v>9000</v>
      </c>
      <c r="L120">
        <v>0</v>
      </c>
      <c r="M120">
        <v>36000</v>
      </c>
      <c r="N120">
        <v>3500</v>
      </c>
      <c r="O120" t="s">
        <v>23</v>
      </c>
      <c r="P120" t="s">
        <v>54</v>
      </c>
      <c r="Q120">
        <f t="shared" si="8"/>
        <v>36000</v>
      </c>
      <c r="R120">
        <f t="shared" si="9"/>
        <v>0</v>
      </c>
      <c r="S120">
        <f t="shared" si="10"/>
        <v>14000</v>
      </c>
      <c r="T120">
        <f t="shared" si="11"/>
        <v>22000</v>
      </c>
      <c r="U120">
        <f t="shared" si="12"/>
        <v>5</v>
      </c>
      <c r="V120" t="b">
        <f t="shared" si="13"/>
        <v>0</v>
      </c>
      <c r="W120">
        <f t="shared" si="14"/>
        <v>11</v>
      </c>
      <c r="X120" t="b">
        <f t="shared" si="15"/>
        <v>0</v>
      </c>
    </row>
    <row r="121" spans="1:24" x14ac:dyDescent="0.35">
      <c r="A121">
        <v>100120</v>
      </c>
      <c r="B121" s="1">
        <v>46048</v>
      </c>
      <c r="C121" t="s">
        <v>25</v>
      </c>
      <c r="D121" t="s">
        <v>26</v>
      </c>
      <c r="E121" t="s">
        <v>43</v>
      </c>
      <c r="F121" t="s">
        <v>27</v>
      </c>
      <c r="G121" t="s">
        <v>28</v>
      </c>
      <c r="H121" t="s">
        <v>151</v>
      </c>
      <c r="I121" t="s">
        <v>30</v>
      </c>
      <c r="J121">
        <v>1</v>
      </c>
      <c r="K121">
        <v>165000</v>
      </c>
      <c r="L121">
        <v>0</v>
      </c>
      <c r="M121">
        <v>165000</v>
      </c>
      <c r="N121">
        <v>112000</v>
      </c>
      <c r="O121" t="s">
        <v>76</v>
      </c>
      <c r="P121" t="s">
        <v>58</v>
      </c>
      <c r="Q121">
        <f t="shared" si="8"/>
        <v>165000</v>
      </c>
      <c r="R121">
        <f t="shared" si="9"/>
        <v>0</v>
      </c>
      <c r="S121">
        <f t="shared" si="10"/>
        <v>112000</v>
      </c>
      <c r="T121">
        <f t="shared" si="11"/>
        <v>53000</v>
      </c>
      <c r="U121">
        <f t="shared" si="12"/>
        <v>5</v>
      </c>
      <c r="V121" t="b">
        <f t="shared" si="13"/>
        <v>0</v>
      </c>
      <c r="W121">
        <f t="shared" si="14"/>
        <v>11</v>
      </c>
      <c r="X121" t="b">
        <f t="shared" si="15"/>
        <v>0</v>
      </c>
    </row>
    <row r="122" spans="1:24" x14ac:dyDescent="0.35">
      <c r="A122">
        <v>100121</v>
      </c>
      <c r="B122" s="1">
        <v>46248</v>
      </c>
      <c r="C122" t="s">
        <v>50</v>
      </c>
      <c r="D122" t="s">
        <v>51</v>
      </c>
      <c r="E122" t="s">
        <v>43</v>
      </c>
      <c r="F122" t="s">
        <v>44</v>
      </c>
      <c r="G122" t="s">
        <v>60</v>
      </c>
      <c r="H122" t="s">
        <v>152</v>
      </c>
      <c r="I122" t="s">
        <v>22</v>
      </c>
      <c r="J122">
        <v>4</v>
      </c>
      <c r="K122">
        <v>9000</v>
      </c>
      <c r="L122">
        <v>0</v>
      </c>
      <c r="M122">
        <v>32400</v>
      </c>
      <c r="N122">
        <v>3500</v>
      </c>
      <c r="O122" t="s">
        <v>23</v>
      </c>
      <c r="P122" t="s">
        <v>47</v>
      </c>
      <c r="Q122">
        <f t="shared" si="8"/>
        <v>36000</v>
      </c>
      <c r="R122">
        <f t="shared" si="9"/>
        <v>-3600</v>
      </c>
      <c r="S122">
        <f t="shared" si="10"/>
        <v>14000</v>
      </c>
      <c r="T122">
        <f t="shared" si="11"/>
        <v>22000</v>
      </c>
      <c r="U122">
        <f t="shared" si="12"/>
        <v>6</v>
      </c>
      <c r="V122" t="b">
        <f t="shared" si="13"/>
        <v>0</v>
      </c>
      <c r="W122">
        <f t="shared" si="14"/>
        <v>11</v>
      </c>
      <c r="X122" t="b">
        <f t="shared" si="15"/>
        <v>0</v>
      </c>
    </row>
    <row r="123" spans="1:24" x14ac:dyDescent="0.35">
      <c r="A123">
        <v>100122</v>
      </c>
      <c r="B123" s="1">
        <v>46226</v>
      </c>
      <c r="C123" t="s">
        <v>55</v>
      </c>
      <c r="D123" t="s">
        <v>56</v>
      </c>
      <c r="E123" t="s">
        <v>43</v>
      </c>
      <c r="F123" t="s">
        <v>19</v>
      </c>
      <c r="G123" t="s">
        <v>62</v>
      </c>
      <c r="H123" t="s">
        <v>81</v>
      </c>
      <c r="I123" t="s">
        <v>22</v>
      </c>
      <c r="J123">
        <v>3</v>
      </c>
      <c r="K123">
        <v>24000</v>
      </c>
      <c r="L123">
        <v>0</v>
      </c>
      <c r="M123">
        <v>72000</v>
      </c>
      <c r="N123">
        <v>15000</v>
      </c>
      <c r="O123" t="s">
        <v>23</v>
      </c>
      <c r="P123" t="s">
        <v>64</v>
      </c>
      <c r="Q123">
        <f t="shared" si="8"/>
        <v>72000</v>
      </c>
      <c r="R123">
        <f t="shared" si="9"/>
        <v>0</v>
      </c>
      <c r="S123">
        <f t="shared" si="10"/>
        <v>45000</v>
      </c>
      <c r="T123">
        <f t="shared" si="11"/>
        <v>27000</v>
      </c>
      <c r="U123">
        <f t="shared" si="12"/>
        <v>13</v>
      </c>
      <c r="V123" t="b">
        <f t="shared" si="13"/>
        <v>0</v>
      </c>
      <c r="W123">
        <f t="shared" si="14"/>
        <v>4</v>
      </c>
      <c r="X123" t="b">
        <f t="shared" si="15"/>
        <v>0</v>
      </c>
    </row>
    <row r="124" spans="1:24" x14ac:dyDescent="0.35">
      <c r="A124">
        <v>100123</v>
      </c>
      <c r="B124" s="1">
        <v>46172</v>
      </c>
      <c r="C124" t="s">
        <v>32</v>
      </c>
      <c r="D124" t="s">
        <v>17</v>
      </c>
      <c r="E124" t="s">
        <v>43</v>
      </c>
      <c r="F124" t="s">
        <v>27</v>
      </c>
      <c r="G124" t="s">
        <v>33</v>
      </c>
      <c r="H124" t="s">
        <v>131</v>
      </c>
      <c r="I124" t="s">
        <v>30</v>
      </c>
      <c r="J124">
        <v>4</v>
      </c>
      <c r="K124">
        <v>32000</v>
      </c>
      <c r="L124">
        <v>0.1</v>
      </c>
      <c r="M124">
        <v>115200</v>
      </c>
      <c r="N124">
        <v>19000</v>
      </c>
      <c r="O124" t="s">
        <v>23</v>
      </c>
      <c r="P124" t="s">
        <v>54</v>
      </c>
      <c r="Q124">
        <f t="shared" si="8"/>
        <v>115200</v>
      </c>
      <c r="R124">
        <f t="shared" si="9"/>
        <v>0</v>
      </c>
      <c r="S124">
        <f t="shared" si="10"/>
        <v>76000</v>
      </c>
      <c r="T124">
        <f t="shared" si="11"/>
        <v>39200</v>
      </c>
      <c r="U124">
        <f t="shared" si="12"/>
        <v>5</v>
      </c>
      <c r="V124" t="b">
        <f t="shared" si="13"/>
        <v>0</v>
      </c>
      <c r="W124">
        <f t="shared" si="14"/>
        <v>11</v>
      </c>
      <c r="X124" t="b">
        <f t="shared" si="15"/>
        <v>0</v>
      </c>
    </row>
    <row r="125" spans="1:24" x14ac:dyDescent="0.35">
      <c r="A125">
        <v>100124</v>
      </c>
      <c r="B125" s="1">
        <v>46227</v>
      </c>
      <c r="C125" t="s">
        <v>35</v>
      </c>
      <c r="D125" t="s">
        <v>36</v>
      </c>
      <c r="E125" t="s">
        <v>37</v>
      </c>
      <c r="F125" t="s">
        <v>27</v>
      </c>
      <c r="G125" t="s">
        <v>33</v>
      </c>
      <c r="H125" t="s">
        <v>101</v>
      </c>
      <c r="I125" t="s">
        <v>30</v>
      </c>
      <c r="J125">
        <v>3</v>
      </c>
      <c r="K125">
        <v>32000</v>
      </c>
      <c r="L125">
        <v>0.15</v>
      </c>
      <c r="M125">
        <v>81600</v>
      </c>
      <c r="N125">
        <v>19000</v>
      </c>
      <c r="O125" t="s">
        <v>23</v>
      </c>
      <c r="P125" t="s">
        <v>58</v>
      </c>
      <c r="Q125">
        <f t="shared" si="8"/>
        <v>81600</v>
      </c>
      <c r="R125">
        <f t="shared" si="9"/>
        <v>0</v>
      </c>
      <c r="S125">
        <f t="shared" si="10"/>
        <v>57000</v>
      </c>
      <c r="T125">
        <f t="shared" si="11"/>
        <v>24600</v>
      </c>
      <c r="U125">
        <f t="shared" si="12"/>
        <v>4</v>
      </c>
      <c r="V125" t="b">
        <f t="shared" si="13"/>
        <v>0</v>
      </c>
      <c r="W125">
        <f t="shared" si="14"/>
        <v>11</v>
      </c>
      <c r="X125" t="b">
        <f t="shared" si="15"/>
        <v>0</v>
      </c>
    </row>
    <row r="126" spans="1:24" x14ac:dyDescent="0.35">
      <c r="A126">
        <v>100125</v>
      </c>
      <c r="B126" s="1">
        <v>46081</v>
      </c>
      <c r="C126" t="s">
        <v>55</v>
      </c>
      <c r="D126" t="s">
        <v>56</v>
      </c>
      <c r="E126" t="s">
        <v>43</v>
      </c>
      <c r="F126" t="s">
        <v>27</v>
      </c>
      <c r="G126" t="s">
        <v>33</v>
      </c>
      <c r="H126" t="s">
        <v>73</v>
      </c>
      <c r="I126" t="s">
        <v>30</v>
      </c>
      <c r="J126">
        <v>3</v>
      </c>
      <c r="K126">
        <v>32000</v>
      </c>
      <c r="L126">
        <v>0.15</v>
      </c>
      <c r="M126">
        <v>81600</v>
      </c>
      <c r="N126">
        <v>19000</v>
      </c>
      <c r="O126" t="s">
        <v>23</v>
      </c>
      <c r="P126" t="s">
        <v>24</v>
      </c>
      <c r="Q126">
        <f t="shared" si="8"/>
        <v>81600</v>
      </c>
      <c r="R126">
        <f t="shared" si="9"/>
        <v>0</v>
      </c>
      <c r="S126">
        <f t="shared" si="10"/>
        <v>57000</v>
      </c>
      <c r="T126">
        <f t="shared" si="11"/>
        <v>24600</v>
      </c>
      <c r="U126">
        <f t="shared" si="12"/>
        <v>13</v>
      </c>
      <c r="V126" t="b">
        <f t="shared" si="13"/>
        <v>0</v>
      </c>
      <c r="W126">
        <f t="shared" si="14"/>
        <v>11</v>
      </c>
      <c r="X126" t="b">
        <f t="shared" si="15"/>
        <v>0</v>
      </c>
    </row>
    <row r="127" spans="1:24" x14ac:dyDescent="0.35">
      <c r="A127">
        <v>100126</v>
      </c>
      <c r="B127" s="1">
        <v>46221</v>
      </c>
      <c r="C127" t="s">
        <v>16</v>
      </c>
      <c r="D127" t="s">
        <v>17</v>
      </c>
      <c r="E127" t="s">
        <v>18</v>
      </c>
      <c r="F127" t="s">
        <v>27</v>
      </c>
      <c r="G127" t="s">
        <v>28</v>
      </c>
      <c r="H127" t="s">
        <v>74</v>
      </c>
      <c r="I127" t="s">
        <v>30</v>
      </c>
      <c r="J127">
        <v>2</v>
      </c>
      <c r="K127">
        <v>165000</v>
      </c>
      <c r="L127">
        <v>0.25</v>
      </c>
      <c r="M127">
        <v>247500</v>
      </c>
      <c r="N127">
        <v>112000</v>
      </c>
      <c r="O127" t="s">
        <v>23</v>
      </c>
      <c r="P127" t="s">
        <v>64</v>
      </c>
      <c r="Q127">
        <f t="shared" si="8"/>
        <v>247500</v>
      </c>
      <c r="R127">
        <f t="shared" si="9"/>
        <v>0</v>
      </c>
      <c r="S127">
        <f t="shared" si="10"/>
        <v>224000</v>
      </c>
      <c r="T127">
        <f t="shared" si="11"/>
        <v>23500</v>
      </c>
      <c r="U127">
        <f t="shared" si="12"/>
        <v>5</v>
      </c>
      <c r="V127" t="b">
        <f t="shared" si="13"/>
        <v>0</v>
      </c>
      <c r="W127">
        <f t="shared" si="14"/>
        <v>11</v>
      </c>
      <c r="X127" t="b">
        <f t="shared" si="15"/>
        <v>0</v>
      </c>
    </row>
    <row r="128" spans="1:24" x14ac:dyDescent="0.35">
      <c r="A128">
        <v>100127</v>
      </c>
      <c r="B128" s="1">
        <v>46032</v>
      </c>
      <c r="C128" t="s">
        <v>32</v>
      </c>
      <c r="D128" t="s">
        <v>17</v>
      </c>
      <c r="E128" t="s">
        <v>37</v>
      </c>
      <c r="F128" t="s">
        <v>44</v>
      </c>
      <c r="G128" t="s">
        <v>60</v>
      </c>
      <c r="H128" t="s">
        <v>153</v>
      </c>
      <c r="I128" t="s">
        <v>30</v>
      </c>
      <c r="J128">
        <v>3</v>
      </c>
      <c r="K128">
        <v>9000</v>
      </c>
      <c r="L128">
        <v>0.25</v>
      </c>
      <c r="M128">
        <v>20250</v>
      </c>
      <c r="N128">
        <v>3500</v>
      </c>
      <c r="O128" t="s">
        <v>23</v>
      </c>
      <c r="P128" t="s">
        <v>47</v>
      </c>
      <c r="Q128">
        <f t="shared" si="8"/>
        <v>20250</v>
      </c>
      <c r="R128">
        <f t="shared" si="9"/>
        <v>0</v>
      </c>
      <c r="S128">
        <f t="shared" si="10"/>
        <v>10500</v>
      </c>
      <c r="T128">
        <f t="shared" si="11"/>
        <v>9750</v>
      </c>
      <c r="U128">
        <f t="shared" si="12"/>
        <v>5</v>
      </c>
      <c r="V128" t="b">
        <f t="shared" si="13"/>
        <v>0</v>
      </c>
      <c r="W128">
        <f t="shared" si="14"/>
        <v>11</v>
      </c>
      <c r="X128" t="b">
        <f t="shared" si="15"/>
        <v>0</v>
      </c>
    </row>
    <row r="129" spans="1:24" x14ac:dyDescent="0.35">
      <c r="A129">
        <v>100128</v>
      </c>
      <c r="B129" s="1">
        <v>46113</v>
      </c>
      <c r="C129" t="s">
        <v>32</v>
      </c>
      <c r="D129" t="s">
        <v>17</v>
      </c>
      <c r="E129" t="s">
        <v>18</v>
      </c>
      <c r="F129" t="s">
        <v>27</v>
      </c>
      <c r="G129" t="s">
        <v>28</v>
      </c>
      <c r="H129" t="s">
        <v>152</v>
      </c>
      <c r="I129" t="s">
        <v>22</v>
      </c>
      <c r="J129">
        <v>2</v>
      </c>
      <c r="K129">
        <v>165000</v>
      </c>
      <c r="L129">
        <v>0</v>
      </c>
      <c r="M129">
        <v>330000</v>
      </c>
      <c r="N129">
        <v>112000</v>
      </c>
      <c r="O129" t="s">
        <v>23</v>
      </c>
      <c r="P129" t="s">
        <v>58</v>
      </c>
      <c r="Q129">
        <f t="shared" si="8"/>
        <v>330000</v>
      </c>
      <c r="R129">
        <f t="shared" si="9"/>
        <v>0</v>
      </c>
      <c r="S129">
        <f t="shared" si="10"/>
        <v>224000</v>
      </c>
      <c r="T129">
        <f t="shared" si="11"/>
        <v>106000</v>
      </c>
      <c r="U129">
        <f t="shared" si="12"/>
        <v>5</v>
      </c>
      <c r="V129" t="b">
        <f t="shared" si="13"/>
        <v>0</v>
      </c>
      <c r="W129">
        <f t="shared" si="14"/>
        <v>11</v>
      </c>
      <c r="X129" t="b">
        <f t="shared" si="15"/>
        <v>0</v>
      </c>
    </row>
    <row r="130" spans="1:24" x14ac:dyDescent="0.35">
      <c r="A130">
        <v>100129</v>
      </c>
      <c r="B130" s="1">
        <v>46114</v>
      </c>
      <c r="C130" t="s">
        <v>55</v>
      </c>
      <c r="D130" t="s">
        <v>56</v>
      </c>
      <c r="E130" t="s">
        <v>18</v>
      </c>
      <c r="F130" t="s">
        <v>44</v>
      </c>
      <c r="G130" t="s">
        <v>65</v>
      </c>
      <c r="H130" t="s">
        <v>154</v>
      </c>
      <c r="I130" t="s">
        <v>22</v>
      </c>
      <c r="J130">
        <v>2</v>
      </c>
      <c r="K130">
        <v>28000</v>
      </c>
      <c r="L130">
        <v>0.05</v>
      </c>
      <c r="M130">
        <v>53200</v>
      </c>
      <c r="N130">
        <v>16000</v>
      </c>
      <c r="O130" t="s">
        <v>23</v>
      </c>
      <c r="P130" t="s">
        <v>24</v>
      </c>
      <c r="Q130">
        <f t="shared" ref="Q130:Q193" si="16">J130*K130*(1-L130)</f>
        <v>53200</v>
      </c>
      <c r="R130">
        <f t="shared" ref="R130:R193" si="17">M130-Q130</f>
        <v>0</v>
      </c>
      <c r="S130">
        <f t="shared" si="10"/>
        <v>32000</v>
      </c>
      <c r="T130">
        <f t="shared" si="11"/>
        <v>21200</v>
      </c>
      <c r="U130">
        <f t="shared" si="12"/>
        <v>13</v>
      </c>
      <c r="V130" t="b">
        <f t="shared" si="13"/>
        <v>0</v>
      </c>
      <c r="W130">
        <f t="shared" si="14"/>
        <v>11</v>
      </c>
      <c r="X130" t="b">
        <f t="shared" si="15"/>
        <v>0</v>
      </c>
    </row>
    <row r="131" spans="1:24" x14ac:dyDescent="0.35">
      <c r="A131">
        <v>100130</v>
      </c>
      <c r="B131" s="1">
        <v>46126</v>
      </c>
      <c r="C131" t="s">
        <v>42</v>
      </c>
      <c r="D131" t="s">
        <v>26</v>
      </c>
      <c r="E131" t="s">
        <v>18</v>
      </c>
      <c r="F131" t="s">
        <v>44</v>
      </c>
      <c r="G131" t="s">
        <v>60</v>
      </c>
      <c r="H131" t="s">
        <v>155</v>
      </c>
      <c r="I131" t="s">
        <v>22</v>
      </c>
      <c r="J131">
        <v>2</v>
      </c>
      <c r="K131">
        <v>9000</v>
      </c>
      <c r="L131">
        <v>0</v>
      </c>
      <c r="M131">
        <v>18000</v>
      </c>
      <c r="N131">
        <v>3500</v>
      </c>
      <c r="O131" t="s">
        <v>23</v>
      </c>
      <c r="P131" t="s">
        <v>31</v>
      </c>
      <c r="Q131">
        <f t="shared" si="16"/>
        <v>18000</v>
      </c>
      <c r="R131">
        <f t="shared" si="17"/>
        <v>0</v>
      </c>
      <c r="S131">
        <f t="shared" ref="S131:S194" si="18">J131*N131</f>
        <v>7000</v>
      </c>
      <c r="T131">
        <f t="shared" ref="T131:T194" si="19">Q131-S131</f>
        <v>11000</v>
      </c>
      <c r="U131">
        <f t="shared" ref="U131:U194" si="20">LEN(D131)</f>
        <v>5</v>
      </c>
      <c r="V131" t="b">
        <f t="shared" ref="V131:V194" si="21">AND(LEFT(D131,5)="Lagos",LEN(D131)&gt;5)</f>
        <v>0</v>
      </c>
      <c r="W131">
        <f t="shared" ref="W131:W194" si="22">LEN(F131)</f>
        <v>11</v>
      </c>
      <c r="X131" t="b">
        <f t="shared" ref="X131:X194" si="23">AND(LEFT(F131,11)="Accessories",LEN(F131)&gt;11)</f>
        <v>0</v>
      </c>
    </row>
    <row r="132" spans="1:24" x14ac:dyDescent="0.35">
      <c r="A132">
        <v>100131</v>
      </c>
      <c r="B132" s="1">
        <v>46090</v>
      </c>
      <c r="C132" t="s">
        <v>42</v>
      </c>
      <c r="D132" t="s">
        <v>26</v>
      </c>
      <c r="E132" t="s">
        <v>18</v>
      </c>
      <c r="F132" t="s">
        <v>19</v>
      </c>
      <c r="G132" t="s">
        <v>52</v>
      </c>
      <c r="H132" t="s">
        <v>156</v>
      </c>
      <c r="I132" t="s">
        <v>22</v>
      </c>
      <c r="J132">
        <v>1</v>
      </c>
      <c r="K132">
        <v>42000</v>
      </c>
      <c r="L132">
        <v>0</v>
      </c>
      <c r="M132">
        <v>42000</v>
      </c>
      <c r="N132">
        <v>28000</v>
      </c>
      <c r="O132" t="s">
        <v>23</v>
      </c>
      <c r="P132" t="s">
        <v>58</v>
      </c>
      <c r="Q132">
        <f t="shared" si="16"/>
        <v>42000</v>
      </c>
      <c r="R132">
        <f t="shared" si="17"/>
        <v>0</v>
      </c>
      <c r="S132">
        <f t="shared" si="18"/>
        <v>28000</v>
      </c>
      <c r="T132">
        <f t="shared" si="19"/>
        <v>14000</v>
      </c>
      <c r="U132">
        <f t="shared" si="20"/>
        <v>5</v>
      </c>
      <c r="V132" t="b">
        <f t="shared" si="21"/>
        <v>0</v>
      </c>
      <c r="W132">
        <f t="shared" si="22"/>
        <v>4</v>
      </c>
      <c r="X132" t="b">
        <f t="shared" si="23"/>
        <v>0</v>
      </c>
    </row>
    <row r="133" spans="1:24" x14ac:dyDescent="0.35">
      <c r="A133">
        <v>100132</v>
      </c>
      <c r="B133" s="1">
        <v>46258</v>
      </c>
      <c r="C133" t="s">
        <v>55</v>
      </c>
      <c r="D133" t="s">
        <v>56</v>
      </c>
      <c r="E133" t="s">
        <v>43</v>
      </c>
      <c r="F133" t="s">
        <v>27</v>
      </c>
      <c r="G133" t="s">
        <v>38</v>
      </c>
      <c r="H133" t="s">
        <v>157</v>
      </c>
      <c r="I133" t="s">
        <v>30</v>
      </c>
      <c r="J133">
        <v>4</v>
      </c>
      <c r="K133">
        <v>26000</v>
      </c>
      <c r="L133">
        <v>0</v>
      </c>
      <c r="M133">
        <v>104000</v>
      </c>
      <c r="N133">
        <v>15000</v>
      </c>
      <c r="O133" t="s">
        <v>23</v>
      </c>
      <c r="P133" t="s">
        <v>84</v>
      </c>
      <c r="Q133">
        <f t="shared" si="16"/>
        <v>104000</v>
      </c>
      <c r="R133">
        <f t="shared" si="17"/>
        <v>0</v>
      </c>
      <c r="S133">
        <f t="shared" si="18"/>
        <v>60000</v>
      </c>
      <c r="T133">
        <f t="shared" si="19"/>
        <v>44000</v>
      </c>
      <c r="U133">
        <f t="shared" si="20"/>
        <v>13</v>
      </c>
      <c r="V133" t="b">
        <f t="shared" si="21"/>
        <v>0</v>
      </c>
      <c r="W133">
        <f t="shared" si="22"/>
        <v>11</v>
      </c>
      <c r="X133" t="b">
        <f t="shared" si="23"/>
        <v>0</v>
      </c>
    </row>
    <row r="134" spans="1:24" x14ac:dyDescent="0.35">
      <c r="A134">
        <v>100133</v>
      </c>
      <c r="B134" s="1">
        <v>46202</v>
      </c>
      <c r="C134" t="s">
        <v>35</v>
      </c>
      <c r="D134" t="s">
        <v>36</v>
      </c>
      <c r="E134" t="s">
        <v>43</v>
      </c>
      <c r="F134" t="s">
        <v>19</v>
      </c>
      <c r="G134" t="s">
        <v>62</v>
      </c>
      <c r="H134" t="s">
        <v>57</v>
      </c>
      <c r="I134" t="s">
        <v>30</v>
      </c>
      <c r="J134">
        <v>1</v>
      </c>
      <c r="K134">
        <v>24000</v>
      </c>
      <c r="L134">
        <v>0</v>
      </c>
      <c r="M134">
        <v>24000</v>
      </c>
      <c r="N134">
        <v>15000</v>
      </c>
      <c r="O134" t="s">
        <v>23</v>
      </c>
      <c r="P134" t="s">
        <v>31</v>
      </c>
      <c r="Q134">
        <f t="shared" si="16"/>
        <v>24000</v>
      </c>
      <c r="R134">
        <f t="shared" si="17"/>
        <v>0</v>
      </c>
      <c r="S134">
        <f t="shared" si="18"/>
        <v>15000</v>
      </c>
      <c r="T134">
        <f t="shared" si="19"/>
        <v>9000</v>
      </c>
      <c r="U134">
        <f t="shared" si="20"/>
        <v>4</v>
      </c>
      <c r="V134" t="b">
        <f t="shared" si="21"/>
        <v>0</v>
      </c>
      <c r="W134">
        <f t="shared" si="22"/>
        <v>4</v>
      </c>
      <c r="X134" t="b">
        <f t="shared" si="23"/>
        <v>0</v>
      </c>
    </row>
    <row r="135" spans="1:24" x14ac:dyDescent="0.35">
      <c r="A135">
        <v>100134</v>
      </c>
      <c r="B135" s="1">
        <v>46145</v>
      </c>
      <c r="C135" t="s">
        <v>16</v>
      </c>
      <c r="D135" t="s">
        <v>17</v>
      </c>
      <c r="E135" t="s">
        <v>37</v>
      </c>
      <c r="F135" t="s">
        <v>19</v>
      </c>
      <c r="G135" t="s">
        <v>20</v>
      </c>
      <c r="H135" t="s">
        <v>158</v>
      </c>
      <c r="I135" t="s">
        <v>30</v>
      </c>
      <c r="J135">
        <v>3</v>
      </c>
      <c r="K135">
        <v>58000</v>
      </c>
      <c r="L135">
        <v>0.25</v>
      </c>
      <c r="M135">
        <v>130500</v>
      </c>
      <c r="N135">
        <v>39000</v>
      </c>
      <c r="O135" t="s">
        <v>23</v>
      </c>
      <c r="P135" t="s">
        <v>64</v>
      </c>
      <c r="Q135">
        <f t="shared" si="16"/>
        <v>130500</v>
      </c>
      <c r="R135">
        <f t="shared" si="17"/>
        <v>0</v>
      </c>
      <c r="S135">
        <f t="shared" si="18"/>
        <v>117000</v>
      </c>
      <c r="T135">
        <f t="shared" si="19"/>
        <v>13500</v>
      </c>
      <c r="U135">
        <f t="shared" si="20"/>
        <v>5</v>
      </c>
      <c r="V135" t="b">
        <f t="shared" si="21"/>
        <v>0</v>
      </c>
      <c r="W135">
        <f t="shared" si="22"/>
        <v>4</v>
      </c>
      <c r="X135" t="b">
        <f t="shared" si="23"/>
        <v>0</v>
      </c>
    </row>
    <row r="136" spans="1:24" x14ac:dyDescent="0.35">
      <c r="A136">
        <v>100135</v>
      </c>
      <c r="B136" s="1">
        <v>46121</v>
      </c>
      <c r="C136" t="s">
        <v>35</v>
      </c>
      <c r="D136" t="s">
        <v>36</v>
      </c>
      <c r="E136" t="s">
        <v>18</v>
      </c>
      <c r="F136" t="s">
        <v>19</v>
      </c>
      <c r="G136" t="s">
        <v>62</v>
      </c>
      <c r="H136" t="s">
        <v>159</v>
      </c>
      <c r="I136" t="s">
        <v>30</v>
      </c>
      <c r="J136">
        <v>1</v>
      </c>
      <c r="K136">
        <v>24000</v>
      </c>
      <c r="L136">
        <v>0.15</v>
      </c>
      <c r="M136">
        <v>20400</v>
      </c>
      <c r="N136">
        <v>15000</v>
      </c>
      <c r="O136" t="s">
        <v>23</v>
      </c>
      <c r="P136" t="s">
        <v>31</v>
      </c>
      <c r="Q136">
        <f t="shared" si="16"/>
        <v>20400</v>
      </c>
      <c r="R136">
        <f t="shared" si="17"/>
        <v>0</v>
      </c>
      <c r="S136">
        <f t="shared" si="18"/>
        <v>15000</v>
      </c>
      <c r="T136">
        <f t="shared" si="19"/>
        <v>5400</v>
      </c>
      <c r="U136">
        <f t="shared" si="20"/>
        <v>4</v>
      </c>
      <c r="V136" t="b">
        <f t="shared" si="21"/>
        <v>0</v>
      </c>
      <c r="W136">
        <f t="shared" si="22"/>
        <v>4</v>
      </c>
      <c r="X136" t="b">
        <f t="shared" si="23"/>
        <v>0</v>
      </c>
    </row>
    <row r="137" spans="1:24" x14ac:dyDescent="0.35">
      <c r="A137">
        <v>100136</v>
      </c>
      <c r="B137" s="1">
        <v>46062</v>
      </c>
      <c r="C137" t="s">
        <v>35</v>
      </c>
      <c r="D137" t="s">
        <v>36</v>
      </c>
      <c r="E137" t="s">
        <v>43</v>
      </c>
      <c r="F137" t="s">
        <v>27</v>
      </c>
      <c r="G137" t="s">
        <v>38</v>
      </c>
      <c r="H137" t="s">
        <v>160</v>
      </c>
      <c r="I137" t="s">
        <v>22</v>
      </c>
      <c r="J137">
        <v>2</v>
      </c>
      <c r="K137">
        <v>26000</v>
      </c>
      <c r="L137">
        <v>0.15</v>
      </c>
      <c r="M137">
        <v>44200</v>
      </c>
      <c r="N137">
        <v>15000</v>
      </c>
      <c r="O137" t="s">
        <v>23</v>
      </c>
      <c r="P137" t="s">
        <v>54</v>
      </c>
      <c r="Q137">
        <f t="shared" si="16"/>
        <v>44200</v>
      </c>
      <c r="R137">
        <f t="shared" si="17"/>
        <v>0</v>
      </c>
      <c r="S137">
        <f t="shared" si="18"/>
        <v>30000</v>
      </c>
      <c r="T137">
        <f t="shared" si="19"/>
        <v>14200</v>
      </c>
      <c r="U137">
        <f t="shared" si="20"/>
        <v>4</v>
      </c>
      <c r="V137" t="b">
        <f t="shared" si="21"/>
        <v>0</v>
      </c>
      <c r="W137">
        <f t="shared" si="22"/>
        <v>11</v>
      </c>
      <c r="X137" t="b">
        <f t="shared" si="23"/>
        <v>0</v>
      </c>
    </row>
    <row r="138" spans="1:24" x14ac:dyDescent="0.35">
      <c r="A138">
        <v>100137</v>
      </c>
      <c r="B138" s="1">
        <v>46151</v>
      </c>
      <c r="C138" t="s">
        <v>25</v>
      </c>
      <c r="D138" t="s">
        <v>26</v>
      </c>
      <c r="E138" t="s">
        <v>37</v>
      </c>
      <c r="F138" t="s">
        <v>19</v>
      </c>
      <c r="G138" t="s">
        <v>52</v>
      </c>
      <c r="H138" t="s">
        <v>161</v>
      </c>
      <c r="I138" t="s">
        <v>30</v>
      </c>
      <c r="J138">
        <v>2</v>
      </c>
      <c r="K138">
        <v>42000</v>
      </c>
      <c r="L138">
        <v>0</v>
      </c>
      <c r="M138">
        <v>84000</v>
      </c>
      <c r="N138">
        <v>28000</v>
      </c>
      <c r="O138" t="s">
        <v>23</v>
      </c>
      <c r="P138" t="s">
        <v>58</v>
      </c>
      <c r="Q138">
        <f t="shared" si="16"/>
        <v>84000</v>
      </c>
      <c r="R138">
        <f t="shared" si="17"/>
        <v>0</v>
      </c>
      <c r="S138">
        <f t="shared" si="18"/>
        <v>56000</v>
      </c>
      <c r="T138">
        <f t="shared" si="19"/>
        <v>28000</v>
      </c>
      <c r="U138">
        <f t="shared" si="20"/>
        <v>5</v>
      </c>
      <c r="V138" t="b">
        <f t="shared" si="21"/>
        <v>0</v>
      </c>
      <c r="W138">
        <f t="shared" si="22"/>
        <v>4</v>
      </c>
      <c r="X138" t="b">
        <f t="shared" si="23"/>
        <v>0</v>
      </c>
    </row>
    <row r="139" spans="1:24" x14ac:dyDescent="0.35">
      <c r="A139">
        <v>100138</v>
      </c>
      <c r="B139" s="1">
        <v>46137</v>
      </c>
      <c r="C139" t="s">
        <v>50</v>
      </c>
      <c r="D139" t="s">
        <v>51</v>
      </c>
      <c r="E139" t="s">
        <v>43</v>
      </c>
      <c r="F139" t="s">
        <v>27</v>
      </c>
      <c r="G139" t="s">
        <v>33</v>
      </c>
      <c r="H139" t="s">
        <v>46</v>
      </c>
      <c r="I139" t="s">
        <v>30</v>
      </c>
      <c r="J139">
        <v>4</v>
      </c>
      <c r="K139">
        <v>32000</v>
      </c>
      <c r="L139">
        <v>0</v>
      </c>
      <c r="M139">
        <v>128000</v>
      </c>
      <c r="N139">
        <v>19000</v>
      </c>
      <c r="O139" t="s">
        <v>23</v>
      </c>
      <c r="P139" t="s">
        <v>54</v>
      </c>
      <c r="Q139">
        <f t="shared" si="16"/>
        <v>128000</v>
      </c>
      <c r="R139">
        <f t="shared" si="17"/>
        <v>0</v>
      </c>
      <c r="S139">
        <f t="shared" si="18"/>
        <v>76000</v>
      </c>
      <c r="T139">
        <f t="shared" si="19"/>
        <v>52000</v>
      </c>
      <c r="U139">
        <f t="shared" si="20"/>
        <v>6</v>
      </c>
      <c r="V139" t="b">
        <f t="shared" si="21"/>
        <v>0</v>
      </c>
      <c r="W139">
        <f t="shared" si="22"/>
        <v>11</v>
      </c>
      <c r="X139" t="b">
        <f t="shared" si="23"/>
        <v>0</v>
      </c>
    </row>
    <row r="140" spans="1:24" x14ac:dyDescent="0.35">
      <c r="A140">
        <v>100139</v>
      </c>
      <c r="B140" s="1">
        <v>46056</v>
      </c>
      <c r="C140" t="s">
        <v>25</v>
      </c>
      <c r="D140" t="s">
        <v>26</v>
      </c>
      <c r="E140" t="s">
        <v>43</v>
      </c>
      <c r="F140" t="s">
        <v>44</v>
      </c>
      <c r="G140" t="s">
        <v>65</v>
      </c>
      <c r="H140" t="s">
        <v>162</v>
      </c>
      <c r="I140" t="s">
        <v>22</v>
      </c>
      <c r="J140">
        <v>3</v>
      </c>
      <c r="K140">
        <v>28000</v>
      </c>
      <c r="L140">
        <v>0.05</v>
      </c>
      <c r="M140">
        <v>79800</v>
      </c>
      <c r="N140">
        <v>16000</v>
      </c>
      <c r="O140" t="s">
        <v>23</v>
      </c>
      <c r="P140" t="s">
        <v>47</v>
      </c>
      <c r="Q140">
        <f t="shared" si="16"/>
        <v>79800</v>
      </c>
      <c r="R140">
        <f t="shared" si="17"/>
        <v>0</v>
      </c>
      <c r="S140">
        <f t="shared" si="18"/>
        <v>48000</v>
      </c>
      <c r="T140">
        <f t="shared" si="19"/>
        <v>31800</v>
      </c>
      <c r="U140">
        <f t="shared" si="20"/>
        <v>5</v>
      </c>
      <c r="V140" t="b">
        <f t="shared" si="21"/>
        <v>0</v>
      </c>
      <c r="W140">
        <f t="shared" si="22"/>
        <v>11</v>
      </c>
      <c r="X140" t="b">
        <f t="shared" si="23"/>
        <v>0</v>
      </c>
    </row>
    <row r="141" spans="1:24" x14ac:dyDescent="0.35">
      <c r="A141">
        <v>100140</v>
      </c>
      <c r="B141" s="1">
        <v>46100</v>
      </c>
      <c r="C141" t="s">
        <v>42</v>
      </c>
      <c r="D141" t="s">
        <v>26</v>
      </c>
      <c r="E141" t="s">
        <v>43</v>
      </c>
      <c r="F141" t="s">
        <v>44</v>
      </c>
      <c r="G141" t="s">
        <v>45</v>
      </c>
      <c r="H141" t="s">
        <v>143</v>
      </c>
      <c r="I141" t="s">
        <v>30</v>
      </c>
      <c r="J141">
        <v>2</v>
      </c>
      <c r="K141">
        <v>6500</v>
      </c>
      <c r="L141">
        <v>0.15</v>
      </c>
      <c r="M141">
        <v>11050</v>
      </c>
      <c r="N141">
        <v>2200</v>
      </c>
      <c r="O141" t="s">
        <v>23</v>
      </c>
      <c r="P141" t="s">
        <v>64</v>
      </c>
      <c r="Q141">
        <f t="shared" si="16"/>
        <v>11050</v>
      </c>
      <c r="R141">
        <f t="shared" si="17"/>
        <v>0</v>
      </c>
      <c r="S141">
        <f t="shared" si="18"/>
        <v>4400</v>
      </c>
      <c r="T141">
        <f t="shared" si="19"/>
        <v>6650</v>
      </c>
      <c r="U141">
        <f t="shared" si="20"/>
        <v>5</v>
      </c>
      <c r="V141" t="b">
        <f t="shared" si="21"/>
        <v>0</v>
      </c>
      <c r="W141">
        <f t="shared" si="22"/>
        <v>11</v>
      </c>
      <c r="X141" t="b">
        <f t="shared" si="23"/>
        <v>0</v>
      </c>
    </row>
    <row r="142" spans="1:24" x14ac:dyDescent="0.35">
      <c r="A142">
        <v>100141</v>
      </c>
      <c r="B142" s="1">
        <v>46043</v>
      </c>
      <c r="C142" t="s">
        <v>42</v>
      </c>
      <c r="D142" t="s">
        <v>26</v>
      </c>
      <c r="E142" t="s">
        <v>43</v>
      </c>
      <c r="F142" t="s">
        <v>19</v>
      </c>
      <c r="G142" t="s">
        <v>52</v>
      </c>
      <c r="H142" t="s">
        <v>98</v>
      </c>
      <c r="I142" t="s">
        <v>30</v>
      </c>
      <c r="J142">
        <v>18</v>
      </c>
      <c r="K142">
        <v>42000</v>
      </c>
      <c r="L142">
        <v>0</v>
      </c>
      <c r="M142">
        <v>756000</v>
      </c>
      <c r="N142">
        <v>28000</v>
      </c>
      <c r="O142" t="s">
        <v>23</v>
      </c>
      <c r="P142" t="s">
        <v>64</v>
      </c>
      <c r="Q142">
        <f t="shared" si="16"/>
        <v>756000</v>
      </c>
      <c r="R142">
        <f t="shared" si="17"/>
        <v>0</v>
      </c>
      <c r="S142">
        <f t="shared" si="18"/>
        <v>504000</v>
      </c>
      <c r="T142">
        <f t="shared" si="19"/>
        <v>252000</v>
      </c>
      <c r="U142">
        <f t="shared" si="20"/>
        <v>5</v>
      </c>
      <c r="V142" t="b">
        <f t="shared" si="21"/>
        <v>0</v>
      </c>
      <c r="W142">
        <f t="shared" si="22"/>
        <v>4</v>
      </c>
      <c r="X142" t="b">
        <f t="shared" si="23"/>
        <v>0</v>
      </c>
    </row>
    <row r="143" spans="1:24" x14ac:dyDescent="0.35">
      <c r="A143">
        <v>100142</v>
      </c>
      <c r="B143" s="1">
        <v>46129</v>
      </c>
      <c r="C143" t="s">
        <v>50</v>
      </c>
      <c r="D143" t="s">
        <v>51</v>
      </c>
      <c r="E143" t="s">
        <v>37</v>
      </c>
      <c r="F143" t="s">
        <v>27</v>
      </c>
      <c r="G143" t="s">
        <v>33</v>
      </c>
      <c r="H143" t="s">
        <v>163</v>
      </c>
      <c r="I143" t="s">
        <v>22</v>
      </c>
      <c r="J143">
        <v>1</v>
      </c>
      <c r="K143">
        <v>32000</v>
      </c>
      <c r="L143">
        <v>0</v>
      </c>
      <c r="M143">
        <v>32000</v>
      </c>
      <c r="N143">
        <v>19000</v>
      </c>
      <c r="O143" t="s">
        <v>23</v>
      </c>
      <c r="P143" t="s">
        <v>31</v>
      </c>
      <c r="Q143">
        <f t="shared" si="16"/>
        <v>32000</v>
      </c>
      <c r="R143">
        <f t="shared" si="17"/>
        <v>0</v>
      </c>
      <c r="S143">
        <f t="shared" si="18"/>
        <v>19000</v>
      </c>
      <c r="T143">
        <f t="shared" si="19"/>
        <v>13000</v>
      </c>
      <c r="U143">
        <f t="shared" si="20"/>
        <v>6</v>
      </c>
      <c r="V143" t="b">
        <f t="shared" si="21"/>
        <v>0</v>
      </c>
      <c r="W143">
        <f t="shared" si="22"/>
        <v>11</v>
      </c>
      <c r="X143" t="b">
        <f t="shared" si="23"/>
        <v>0</v>
      </c>
    </row>
    <row r="144" spans="1:24" x14ac:dyDescent="0.35">
      <c r="A144">
        <v>100143</v>
      </c>
      <c r="B144" s="1">
        <v>46187</v>
      </c>
      <c r="C144" t="s">
        <v>42</v>
      </c>
      <c r="D144" t="s">
        <v>26</v>
      </c>
      <c r="E144" t="s">
        <v>43</v>
      </c>
      <c r="F144" t="s">
        <v>27</v>
      </c>
      <c r="G144" t="s">
        <v>28</v>
      </c>
      <c r="H144" t="s">
        <v>77</v>
      </c>
      <c r="I144" t="s">
        <v>30</v>
      </c>
      <c r="J144">
        <v>2</v>
      </c>
      <c r="K144">
        <v>165000</v>
      </c>
      <c r="L144">
        <v>0</v>
      </c>
      <c r="M144">
        <v>330000</v>
      </c>
      <c r="N144">
        <v>112000</v>
      </c>
      <c r="O144" t="s">
        <v>23</v>
      </c>
      <c r="P144" t="s">
        <v>64</v>
      </c>
      <c r="Q144">
        <f t="shared" si="16"/>
        <v>330000</v>
      </c>
      <c r="R144">
        <f t="shared" si="17"/>
        <v>0</v>
      </c>
      <c r="S144">
        <f t="shared" si="18"/>
        <v>224000</v>
      </c>
      <c r="T144">
        <f t="shared" si="19"/>
        <v>106000</v>
      </c>
      <c r="U144">
        <f t="shared" si="20"/>
        <v>5</v>
      </c>
      <c r="V144" t="b">
        <f t="shared" si="21"/>
        <v>0</v>
      </c>
      <c r="W144">
        <f t="shared" si="22"/>
        <v>11</v>
      </c>
      <c r="X144" t="b">
        <f t="shared" si="23"/>
        <v>0</v>
      </c>
    </row>
    <row r="145" spans="1:24" x14ac:dyDescent="0.35">
      <c r="A145">
        <v>100144</v>
      </c>
      <c r="B145" s="1">
        <v>46132</v>
      </c>
      <c r="C145" t="s">
        <v>50</v>
      </c>
      <c r="D145" t="s">
        <v>51</v>
      </c>
      <c r="E145" t="s">
        <v>18</v>
      </c>
      <c r="F145" t="s">
        <v>27</v>
      </c>
      <c r="G145" t="s">
        <v>33</v>
      </c>
      <c r="H145" t="s">
        <v>164</v>
      </c>
      <c r="I145" t="s">
        <v>22</v>
      </c>
      <c r="J145">
        <v>2</v>
      </c>
      <c r="K145">
        <v>32000</v>
      </c>
      <c r="L145">
        <v>0.15</v>
      </c>
      <c r="M145">
        <v>54400</v>
      </c>
      <c r="N145">
        <v>19000</v>
      </c>
      <c r="O145" t="s">
        <v>76</v>
      </c>
      <c r="P145" t="s">
        <v>40</v>
      </c>
      <c r="Q145">
        <f t="shared" si="16"/>
        <v>54400</v>
      </c>
      <c r="R145">
        <f t="shared" si="17"/>
        <v>0</v>
      </c>
      <c r="S145">
        <f t="shared" si="18"/>
        <v>38000</v>
      </c>
      <c r="T145">
        <f t="shared" si="19"/>
        <v>16400</v>
      </c>
      <c r="U145">
        <f t="shared" si="20"/>
        <v>6</v>
      </c>
      <c r="V145" t="b">
        <f t="shared" si="21"/>
        <v>0</v>
      </c>
      <c r="W145">
        <f t="shared" si="22"/>
        <v>11</v>
      </c>
      <c r="X145" t="b">
        <f t="shared" si="23"/>
        <v>0</v>
      </c>
    </row>
    <row r="146" spans="1:24" x14ac:dyDescent="0.35">
      <c r="A146">
        <v>100145</v>
      </c>
      <c r="B146" s="1">
        <v>46141</v>
      </c>
      <c r="C146" t="s">
        <v>50</v>
      </c>
      <c r="D146" t="s">
        <v>51</v>
      </c>
      <c r="E146" t="s">
        <v>43</v>
      </c>
      <c r="F146" t="s">
        <v>44</v>
      </c>
      <c r="G146" t="s">
        <v>65</v>
      </c>
      <c r="H146" t="s">
        <v>119</v>
      </c>
      <c r="I146" t="s">
        <v>22</v>
      </c>
      <c r="J146">
        <v>1</v>
      </c>
      <c r="K146">
        <v>28000</v>
      </c>
      <c r="L146">
        <v>0</v>
      </c>
      <c r="M146">
        <v>28000</v>
      </c>
      <c r="N146">
        <v>16000</v>
      </c>
      <c r="O146" t="s">
        <v>23</v>
      </c>
      <c r="P146" t="s">
        <v>24</v>
      </c>
      <c r="Q146">
        <f t="shared" si="16"/>
        <v>28000</v>
      </c>
      <c r="R146">
        <f t="shared" si="17"/>
        <v>0</v>
      </c>
      <c r="S146">
        <f t="shared" si="18"/>
        <v>16000</v>
      </c>
      <c r="T146">
        <f t="shared" si="19"/>
        <v>12000</v>
      </c>
      <c r="U146">
        <f t="shared" si="20"/>
        <v>6</v>
      </c>
      <c r="V146" t="b">
        <f t="shared" si="21"/>
        <v>0</v>
      </c>
      <c r="W146">
        <f t="shared" si="22"/>
        <v>11</v>
      </c>
      <c r="X146" t="b">
        <f t="shared" si="23"/>
        <v>0</v>
      </c>
    </row>
    <row r="147" spans="1:24" x14ac:dyDescent="0.35">
      <c r="A147">
        <v>100146</v>
      </c>
      <c r="B147" s="1">
        <v>46108</v>
      </c>
      <c r="C147" t="s">
        <v>35</v>
      </c>
      <c r="D147" t="s">
        <v>36</v>
      </c>
      <c r="E147" t="s">
        <v>37</v>
      </c>
      <c r="F147" t="s">
        <v>27</v>
      </c>
      <c r="G147" t="s">
        <v>33</v>
      </c>
      <c r="H147" t="s">
        <v>134</v>
      </c>
      <c r="I147" t="s">
        <v>30</v>
      </c>
      <c r="J147">
        <v>1</v>
      </c>
      <c r="K147">
        <v>32000</v>
      </c>
      <c r="L147">
        <v>0.1</v>
      </c>
      <c r="M147">
        <v>28800</v>
      </c>
      <c r="N147">
        <v>19000</v>
      </c>
      <c r="O147" t="s">
        <v>23</v>
      </c>
      <c r="P147" t="s">
        <v>64</v>
      </c>
      <c r="Q147">
        <f t="shared" si="16"/>
        <v>28800</v>
      </c>
      <c r="R147">
        <f t="shared" si="17"/>
        <v>0</v>
      </c>
      <c r="S147">
        <f t="shared" si="18"/>
        <v>19000</v>
      </c>
      <c r="T147">
        <f t="shared" si="19"/>
        <v>9800</v>
      </c>
      <c r="U147">
        <f t="shared" si="20"/>
        <v>4</v>
      </c>
      <c r="V147" t="b">
        <f t="shared" si="21"/>
        <v>0</v>
      </c>
      <c r="W147">
        <f t="shared" si="22"/>
        <v>11</v>
      </c>
      <c r="X147" t="b">
        <f t="shared" si="23"/>
        <v>0</v>
      </c>
    </row>
    <row r="148" spans="1:24" x14ac:dyDescent="0.35">
      <c r="A148">
        <v>100147</v>
      </c>
      <c r="B148" s="1">
        <v>46127</v>
      </c>
      <c r="C148" t="s">
        <v>55</v>
      </c>
      <c r="D148" t="s">
        <v>56</v>
      </c>
      <c r="E148" t="s">
        <v>43</v>
      </c>
      <c r="F148" t="s">
        <v>19</v>
      </c>
      <c r="G148" t="s">
        <v>52</v>
      </c>
      <c r="H148" t="s">
        <v>165</v>
      </c>
      <c r="I148" t="s">
        <v>22</v>
      </c>
      <c r="J148">
        <v>2</v>
      </c>
      <c r="K148">
        <v>42000</v>
      </c>
      <c r="L148">
        <v>0.05</v>
      </c>
      <c r="M148">
        <v>79800</v>
      </c>
      <c r="N148">
        <v>28000</v>
      </c>
      <c r="O148" t="s">
        <v>23</v>
      </c>
      <c r="P148" t="s">
        <v>24</v>
      </c>
      <c r="Q148">
        <f t="shared" si="16"/>
        <v>79800</v>
      </c>
      <c r="R148">
        <f t="shared" si="17"/>
        <v>0</v>
      </c>
      <c r="S148">
        <f t="shared" si="18"/>
        <v>56000</v>
      </c>
      <c r="T148">
        <f t="shared" si="19"/>
        <v>23800</v>
      </c>
      <c r="U148">
        <f t="shared" si="20"/>
        <v>13</v>
      </c>
      <c r="V148" t="b">
        <f t="shared" si="21"/>
        <v>0</v>
      </c>
      <c r="W148">
        <f t="shared" si="22"/>
        <v>4</v>
      </c>
      <c r="X148" t="b">
        <f t="shared" si="23"/>
        <v>0</v>
      </c>
    </row>
    <row r="149" spans="1:24" x14ac:dyDescent="0.35">
      <c r="A149">
        <v>100148</v>
      </c>
      <c r="B149" s="1">
        <v>46227</v>
      </c>
      <c r="C149" t="s">
        <v>55</v>
      </c>
      <c r="D149" t="s">
        <v>56</v>
      </c>
      <c r="E149" t="s">
        <v>37</v>
      </c>
      <c r="F149" t="s">
        <v>19</v>
      </c>
      <c r="G149" t="s">
        <v>62</v>
      </c>
      <c r="H149" t="s">
        <v>108</v>
      </c>
      <c r="I149" t="s">
        <v>30</v>
      </c>
      <c r="J149">
        <v>1</v>
      </c>
      <c r="K149">
        <v>24000</v>
      </c>
      <c r="L149">
        <v>0.05</v>
      </c>
      <c r="M149">
        <v>22800</v>
      </c>
      <c r="N149">
        <v>15000</v>
      </c>
      <c r="O149" t="s">
        <v>23</v>
      </c>
      <c r="P149" t="s">
        <v>24</v>
      </c>
      <c r="Q149">
        <f t="shared" si="16"/>
        <v>22800</v>
      </c>
      <c r="R149">
        <f t="shared" si="17"/>
        <v>0</v>
      </c>
      <c r="S149">
        <f t="shared" si="18"/>
        <v>15000</v>
      </c>
      <c r="T149">
        <f t="shared" si="19"/>
        <v>7800</v>
      </c>
      <c r="U149">
        <f t="shared" si="20"/>
        <v>13</v>
      </c>
      <c r="V149" t="b">
        <f t="shared" si="21"/>
        <v>0</v>
      </c>
      <c r="W149">
        <f t="shared" si="22"/>
        <v>4</v>
      </c>
      <c r="X149" t="b">
        <f t="shared" si="23"/>
        <v>0</v>
      </c>
    </row>
    <row r="150" spans="1:24" x14ac:dyDescent="0.35">
      <c r="A150">
        <v>100149</v>
      </c>
      <c r="B150" s="1">
        <v>46038</v>
      </c>
      <c r="C150" t="s">
        <v>42</v>
      </c>
      <c r="D150" t="s">
        <v>26</v>
      </c>
      <c r="E150" t="s">
        <v>43</v>
      </c>
      <c r="F150" t="s">
        <v>44</v>
      </c>
      <c r="G150" t="s">
        <v>60</v>
      </c>
      <c r="H150" t="s">
        <v>133</v>
      </c>
      <c r="I150" t="s">
        <v>30</v>
      </c>
      <c r="J150">
        <v>4</v>
      </c>
      <c r="K150">
        <v>9000</v>
      </c>
      <c r="L150">
        <v>0.05</v>
      </c>
      <c r="M150">
        <v>34200</v>
      </c>
      <c r="N150">
        <v>3500</v>
      </c>
      <c r="O150" t="s">
        <v>23</v>
      </c>
      <c r="P150" t="s">
        <v>40</v>
      </c>
      <c r="Q150">
        <f t="shared" si="16"/>
        <v>34200</v>
      </c>
      <c r="R150">
        <f t="shared" si="17"/>
        <v>0</v>
      </c>
      <c r="S150">
        <f t="shared" si="18"/>
        <v>14000</v>
      </c>
      <c r="T150">
        <f t="shared" si="19"/>
        <v>20200</v>
      </c>
      <c r="U150">
        <f t="shared" si="20"/>
        <v>5</v>
      </c>
      <c r="V150" t="b">
        <f t="shared" si="21"/>
        <v>0</v>
      </c>
      <c r="W150">
        <f t="shared" si="22"/>
        <v>11</v>
      </c>
      <c r="X150" t="b">
        <f t="shared" si="23"/>
        <v>0</v>
      </c>
    </row>
    <row r="151" spans="1:24" x14ac:dyDescent="0.35">
      <c r="A151">
        <v>100150</v>
      </c>
      <c r="B151" s="1">
        <v>46032</v>
      </c>
      <c r="C151" t="s">
        <v>50</v>
      </c>
      <c r="D151" t="s">
        <v>51</v>
      </c>
      <c r="E151" t="s">
        <v>37</v>
      </c>
      <c r="F151" t="s">
        <v>27</v>
      </c>
      <c r="G151" t="s">
        <v>38</v>
      </c>
      <c r="H151" t="s">
        <v>91</v>
      </c>
      <c r="I151" t="s">
        <v>30</v>
      </c>
      <c r="J151">
        <v>1</v>
      </c>
      <c r="K151">
        <v>26000</v>
      </c>
      <c r="L151">
        <v>0.1</v>
      </c>
      <c r="M151">
        <v>23400</v>
      </c>
      <c r="N151">
        <v>15000</v>
      </c>
      <c r="O151" t="s">
        <v>23</v>
      </c>
      <c r="P151" t="s">
        <v>40</v>
      </c>
      <c r="Q151">
        <f t="shared" si="16"/>
        <v>23400</v>
      </c>
      <c r="R151">
        <f t="shared" si="17"/>
        <v>0</v>
      </c>
      <c r="S151">
        <f t="shared" si="18"/>
        <v>15000</v>
      </c>
      <c r="T151">
        <f t="shared" si="19"/>
        <v>8400</v>
      </c>
      <c r="U151">
        <f t="shared" si="20"/>
        <v>6</v>
      </c>
      <c r="V151" t="b">
        <f t="shared" si="21"/>
        <v>0</v>
      </c>
      <c r="W151">
        <f t="shared" si="22"/>
        <v>11</v>
      </c>
      <c r="X151" t="b">
        <f t="shared" si="23"/>
        <v>0</v>
      </c>
    </row>
    <row r="152" spans="1:24" x14ac:dyDescent="0.35">
      <c r="A152">
        <v>100151</v>
      </c>
      <c r="B152" s="1">
        <v>46059</v>
      </c>
      <c r="C152" t="s">
        <v>35</v>
      </c>
      <c r="D152" t="s">
        <v>36</v>
      </c>
      <c r="E152" t="s">
        <v>37</v>
      </c>
      <c r="F152" t="s">
        <v>27</v>
      </c>
      <c r="G152" t="s">
        <v>28</v>
      </c>
      <c r="H152" t="s">
        <v>166</v>
      </c>
      <c r="I152" t="s">
        <v>22</v>
      </c>
      <c r="J152">
        <v>1</v>
      </c>
      <c r="K152">
        <v>165000</v>
      </c>
      <c r="L152">
        <v>0.15</v>
      </c>
      <c r="M152">
        <v>140250</v>
      </c>
      <c r="N152">
        <v>112000</v>
      </c>
      <c r="O152" t="s">
        <v>23</v>
      </c>
      <c r="P152" t="s">
        <v>24</v>
      </c>
      <c r="Q152">
        <f t="shared" si="16"/>
        <v>140250</v>
      </c>
      <c r="R152">
        <f t="shared" si="17"/>
        <v>0</v>
      </c>
      <c r="S152">
        <f t="shared" si="18"/>
        <v>112000</v>
      </c>
      <c r="T152">
        <f t="shared" si="19"/>
        <v>28250</v>
      </c>
      <c r="U152">
        <f t="shared" si="20"/>
        <v>4</v>
      </c>
      <c r="V152" t="b">
        <f t="shared" si="21"/>
        <v>0</v>
      </c>
      <c r="W152">
        <f t="shared" si="22"/>
        <v>11</v>
      </c>
      <c r="X152" t="b">
        <f t="shared" si="23"/>
        <v>0</v>
      </c>
    </row>
    <row r="153" spans="1:24" x14ac:dyDescent="0.35">
      <c r="A153">
        <v>100152</v>
      </c>
      <c r="B153" s="1">
        <v>46052</v>
      </c>
      <c r="C153" t="s">
        <v>42</v>
      </c>
      <c r="D153" t="s">
        <v>26</v>
      </c>
      <c r="E153" t="s">
        <v>18</v>
      </c>
      <c r="F153" t="s">
        <v>44</v>
      </c>
      <c r="G153" t="s">
        <v>45</v>
      </c>
      <c r="H153" t="s">
        <v>157</v>
      </c>
      <c r="I153" t="s">
        <v>30</v>
      </c>
      <c r="J153">
        <v>1</v>
      </c>
      <c r="K153">
        <v>6500</v>
      </c>
      <c r="L153">
        <v>0</v>
      </c>
      <c r="M153">
        <v>6500</v>
      </c>
      <c r="N153">
        <v>2200</v>
      </c>
      <c r="O153" t="s">
        <v>23</v>
      </c>
      <c r="P153" t="s">
        <v>64</v>
      </c>
      <c r="Q153">
        <f t="shared" si="16"/>
        <v>6500</v>
      </c>
      <c r="R153">
        <f t="shared" si="17"/>
        <v>0</v>
      </c>
      <c r="S153">
        <f t="shared" si="18"/>
        <v>2200</v>
      </c>
      <c r="T153">
        <f t="shared" si="19"/>
        <v>4300</v>
      </c>
      <c r="U153">
        <f t="shared" si="20"/>
        <v>5</v>
      </c>
      <c r="V153" t="b">
        <f t="shared" si="21"/>
        <v>0</v>
      </c>
      <c r="W153">
        <f t="shared" si="22"/>
        <v>11</v>
      </c>
      <c r="X153" t="b">
        <f t="shared" si="23"/>
        <v>0</v>
      </c>
    </row>
    <row r="154" spans="1:24" x14ac:dyDescent="0.35">
      <c r="A154">
        <v>100153</v>
      </c>
      <c r="B154" s="1">
        <v>46205</v>
      </c>
      <c r="C154" t="s">
        <v>16</v>
      </c>
      <c r="D154" t="s">
        <v>17</v>
      </c>
      <c r="E154" t="s">
        <v>18</v>
      </c>
      <c r="F154" t="s">
        <v>27</v>
      </c>
      <c r="G154" t="s">
        <v>33</v>
      </c>
      <c r="H154" t="s">
        <v>167</v>
      </c>
      <c r="I154" t="s">
        <v>30</v>
      </c>
      <c r="J154">
        <v>1</v>
      </c>
      <c r="K154">
        <v>32000</v>
      </c>
      <c r="L154">
        <v>0.25</v>
      </c>
      <c r="M154">
        <v>24000</v>
      </c>
      <c r="N154">
        <v>19000</v>
      </c>
      <c r="O154" t="s">
        <v>23</v>
      </c>
      <c r="P154" t="s">
        <v>54</v>
      </c>
      <c r="Q154">
        <f t="shared" si="16"/>
        <v>24000</v>
      </c>
      <c r="R154">
        <f t="shared" si="17"/>
        <v>0</v>
      </c>
      <c r="S154">
        <f t="shared" si="18"/>
        <v>19000</v>
      </c>
      <c r="T154">
        <f t="shared" si="19"/>
        <v>5000</v>
      </c>
      <c r="U154">
        <f t="shared" si="20"/>
        <v>5</v>
      </c>
      <c r="V154" t="b">
        <f t="shared" si="21"/>
        <v>0</v>
      </c>
      <c r="W154">
        <f t="shared" si="22"/>
        <v>11</v>
      </c>
      <c r="X154" t="b">
        <f t="shared" si="23"/>
        <v>0</v>
      </c>
    </row>
    <row r="155" spans="1:24" x14ac:dyDescent="0.35">
      <c r="A155">
        <v>100154</v>
      </c>
      <c r="B155" s="1">
        <v>46068</v>
      </c>
      <c r="C155" t="s">
        <v>50</v>
      </c>
      <c r="D155" t="s">
        <v>51</v>
      </c>
      <c r="E155" t="s">
        <v>43</v>
      </c>
      <c r="F155" t="s">
        <v>27</v>
      </c>
      <c r="G155" t="s">
        <v>33</v>
      </c>
      <c r="H155" t="s">
        <v>118</v>
      </c>
      <c r="I155" t="s">
        <v>22</v>
      </c>
      <c r="J155">
        <v>1</v>
      </c>
      <c r="K155">
        <v>32000</v>
      </c>
      <c r="L155">
        <v>0</v>
      </c>
      <c r="M155">
        <v>32000</v>
      </c>
      <c r="N155">
        <v>19000</v>
      </c>
      <c r="O155" t="s">
        <v>23</v>
      </c>
      <c r="P155" t="s">
        <v>54</v>
      </c>
      <c r="Q155">
        <f t="shared" si="16"/>
        <v>32000</v>
      </c>
      <c r="R155">
        <f t="shared" si="17"/>
        <v>0</v>
      </c>
      <c r="S155">
        <f t="shared" si="18"/>
        <v>19000</v>
      </c>
      <c r="T155">
        <f t="shared" si="19"/>
        <v>13000</v>
      </c>
      <c r="U155">
        <f t="shared" si="20"/>
        <v>6</v>
      </c>
      <c r="V155" t="b">
        <f t="shared" si="21"/>
        <v>0</v>
      </c>
      <c r="W155">
        <f t="shared" si="22"/>
        <v>11</v>
      </c>
      <c r="X155" t="b">
        <f t="shared" si="23"/>
        <v>0</v>
      </c>
    </row>
    <row r="156" spans="1:24" x14ac:dyDescent="0.35">
      <c r="A156">
        <v>100155</v>
      </c>
      <c r="B156" s="1">
        <v>46198</v>
      </c>
      <c r="C156" t="s">
        <v>42</v>
      </c>
      <c r="D156" t="s">
        <v>26</v>
      </c>
      <c r="E156" t="s">
        <v>43</v>
      </c>
      <c r="F156" t="s">
        <v>44</v>
      </c>
      <c r="G156" t="s">
        <v>65</v>
      </c>
      <c r="H156" t="s">
        <v>102</v>
      </c>
      <c r="I156" t="s">
        <v>22</v>
      </c>
      <c r="J156">
        <v>5</v>
      </c>
      <c r="K156">
        <v>28000</v>
      </c>
      <c r="L156">
        <v>0.15</v>
      </c>
      <c r="M156">
        <v>119000</v>
      </c>
      <c r="N156">
        <v>16000</v>
      </c>
      <c r="O156" t="s">
        <v>23</v>
      </c>
      <c r="P156" t="s">
        <v>24</v>
      </c>
      <c r="Q156">
        <f t="shared" si="16"/>
        <v>119000</v>
      </c>
      <c r="R156">
        <f t="shared" si="17"/>
        <v>0</v>
      </c>
      <c r="S156">
        <f t="shared" si="18"/>
        <v>80000</v>
      </c>
      <c r="T156">
        <f t="shared" si="19"/>
        <v>39000</v>
      </c>
      <c r="U156">
        <f t="shared" si="20"/>
        <v>5</v>
      </c>
      <c r="V156" t="b">
        <f t="shared" si="21"/>
        <v>0</v>
      </c>
      <c r="W156">
        <f t="shared" si="22"/>
        <v>11</v>
      </c>
      <c r="X156" t="b">
        <f t="shared" si="23"/>
        <v>0</v>
      </c>
    </row>
    <row r="157" spans="1:24" x14ac:dyDescent="0.35">
      <c r="A157">
        <v>100156</v>
      </c>
      <c r="B157" s="1">
        <v>46215</v>
      </c>
      <c r="C157" t="s">
        <v>25</v>
      </c>
      <c r="D157" t="s">
        <v>26</v>
      </c>
      <c r="E157" t="s">
        <v>43</v>
      </c>
      <c r="F157" t="s">
        <v>27</v>
      </c>
      <c r="G157" t="s">
        <v>33</v>
      </c>
      <c r="H157" t="s">
        <v>74</v>
      </c>
      <c r="I157" t="s">
        <v>22</v>
      </c>
      <c r="J157">
        <v>1</v>
      </c>
      <c r="K157">
        <v>32000</v>
      </c>
      <c r="L157">
        <v>0</v>
      </c>
      <c r="M157">
        <v>32000</v>
      </c>
      <c r="N157">
        <v>19000</v>
      </c>
      <c r="O157" t="s">
        <v>23</v>
      </c>
      <c r="P157" t="s">
        <v>31</v>
      </c>
      <c r="Q157">
        <f t="shared" si="16"/>
        <v>32000</v>
      </c>
      <c r="R157">
        <f t="shared" si="17"/>
        <v>0</v>
      </c>
      <c r="S157">
        <f t="shared" si="18"/>
        <v>19000</v>
      </c>
      <c r="T157">
        <f t="shared" si="19"/>
        <v>13000</v>
      </c>
      <c r="U157">
        <f t="shared" si="20"/>
        <v>5</v>
      </c>
      <c r="V157" t="b">
        <f t="shared" si="21"/>
        <v>0</v>
      </c>
      <c r="W157">
        <f t="shared" si="22"/>
        <v>11</v>
      </c>
      <c r="X157" t="b">
        <f t="shared" si="23"/>
        <v>0</v>
      </c>
    </row>
    <row r="158" spans="1:24" x14ac:dyDescent="0.35">
      <c r="A158">
        <v>100157</v>
      </c>
      <c r="B158" s="1">
        <v>46108</v>
      </c>
      <c r="C158" t="s">
        <v>50</v>
      </c>
      <c r="D158" t="s">
        <v>51</v>
      </c>
      <c r="E158" t="s">
        <v>37</v>
      </c>
      <c r="F158" t="s">
        <v>27</v>
      </c>
      <c r="G158" t="s">
        <v>33</v>
      </c>
      <c r="H158" t="s">
        <v>168</v>
      </c>
      <c r="I158" t="s">
        <v>22</v>
      </c>
      <c r="J158">
        <v>1</v>
      </c>
      <c r="K158">
        <v>32000</v>
      </c>
      <c r="L158">
        <v>0.1</v>
      </c>
      <c r="M158">
        <v>28800</v>
      </c>
      <c r="N158">
        <v>19000</v>
      </c>
      <c r="O158" t="s">
        <v>23</v>
      </c>
      <c r="P158" t="s">
        <v>40</v>
      </c>
      <c r="Q158">
        <f t="shared" si="16"/>
        <v>28800</v>
      </c>
      <c r="R158">
        <f t="shared" si="17"/>
        <v>0</v>
      </c>
      <c r="S158">
        <f t="shared" si="18"/>
        <v>19000</v>
      </c>
      <c r="T158">
        <f t="shared" si="19"/>
        <v>9800</v>
      </c>
      <c r="U158">
        <f t="shared" si="20"/>
        <v>6</v>
      </c>
      <c r="V158" t="b">
        <f t="shared" si="21"/>
        <v>0</v>
      </c>
      <c r="W158">
        <f t="shared" si="22"/>
        <v>11</v>
      </c>
      <c r="X158" t="b">
        <f t="shared" si="23"/>
        <v>0</v>
      </c>
    </row>
    <row r="159" spans="1:24" x14ac:dyDescent="0.35">
      <c r="A159">
        <v>100158</v>
      </c>
      <c r="B159" s="1">
        <v>46179</v>
      </c>
      <c r="C159" t="s">
        <v>55</v>
      </c>
      <c r="D159" t="s">
        <v>56</v>
      </c>
      <c r="E159" t="s">
        <v>37</v>
      </c>
      <c r="F159" t="s">
        <v>44</v>
      </c>
      <c r="G159" t="s">
        <v>60</v>
      </c>
      <c r="H159" t="s">
        <v>169</v>
      </c>
      <c r="I159" t="s">
        <v>22</v>
      </c>
      <c r="J159">
        <v>2</v>
      </c>
      <c r="K159">
        <v>9000</v>
      </c>
      <c r="L159">
        <v>0.05</v>
      </c>
      <c r="M159">
        <v>17100</v>
      </c>
      <c r="N159">
        <v>3500</v>
      </c>
      <c r="O159" t="s">
        <v>23</v>
      </c>
      <c r="P159" t="s">
        <v>31</v>
      </c>
      <c r="Q159">
        <f t="shared" si="16"/>
        <v>17100</v>
      </c>
      <c r="R159">
        <f t="shared" si="17"/>
        <v>0</v>
      </c>
      <c r="S159">
        <f t="shared" si="18"/>
        <v>7000</v>
      </c>
      <c r="T159">
        <f t="shared" si="19"/>
        <v>10100</v>
      </c>
      <c r="U159">
        <f t="shared" si="20"/>
        <v>13</v>
      </c>
      <c r="V159" t="b">
        <f t="shared" si="21"/>
        <v>0</v>
      </c>
      <c r="W159">
        <f t="shared" si="22"/>
        <v>11</v>
      </c>
      <c r="X159" t="b">
        <f t="shared" si="23"/>
        <v>0</v>
      </c>
    </row>
    <row r="160" spans="1:24" x14ac:dyDescent="0.35">
      <c r="A160">
        <v>100159</v>
      </c>
      <c r="B160" s="1">
        <v>46204</v>
      </c>
      <c r="C160" t="s">
        <v>25</v>
      </c>
      <c r="D160" t="s">
        <v>26</v>
      </c>
      <c r="E160" t="s">
        <v>43</v>
      </c>
      <c r="F160" t="s">
        <v>19</v>
      </c>
      <c r="G160" t="s">
        <v>62</v>
      </c>
      <c r="H160" t="s">
        <v>73</v>
      </c>
      <c r="I160" t="s">
        <v>22</v>
      </c>
      <c r="J160">
        <v>1</v>
      </c>
      <c r="K160">
        <v>24000</v>
      </c>
      <c r="L160">
        <v>0</v>
      </c>
      <c r="M160">
        <v>24000</v>
      </c>
      <c r="N160">
        <v>15000</v>
      </c>
      <c r="O160" t="s">
        <v>23</v>
      </c>
      <c r="P160" t="s">
        <v>58</v>
      </c>
      <c r="Q160">
        <f t="shared" si="16"/>
        <v>24000</v>
      </c>
      <c r="R160">
        <f t="shared" si="17"/>
        <v>0</v>
      </c>
      <c r="S160">
        <f t="shared" si="18"/>
        <v>15000</v>
      </c>
      <c r="T160">
        <f t="shared" si="19"/>
        <v>9000</v>
      </c>
      <c r="U160">
        <f t="shared" si="20"/>
        <v>5</v>
      </c>
      <c r="V160" t="b">
        <f t="shared" si="21"/>
        <v>0</v>
      </c>
      <c r="W160">
        <f t="shared" si="22"/>
        <v>4</v>
      </c>
      <c r="X160" t="b">
        <f t="shared" si="23"/>
        <v>0</v>
      </c>
    </row>
    <row r="161" spans="1:24" x14ac:dyDescent="0.35">
      <c r="A161">
        <v>100160</v>
      </c>
      <c r="B161" s="1">
        <v>46076</v>
      </c>
      <c r="C161" t="s">
        <v>42</v>
      </c>
      <c r="D161" t="s">
        <v>26</v>
      </c>
      <c r="E161" t="s">
        <v>37</v>
      </c>
      <c r="F161" t="s">
        <v>19</v>
      </c>
      <c r="G161" t="s">
        <v>62</v>
      </c>
      <c r="H161" t="s">
        <v>170</v>
      </c>
      <c r="I161" t="s">
        <v>30</v>
      </c>
      <c r="J161">
        <v>1</v>
      </c>
      <c r="K161">
        <v>24000</v>
      </c>
      <c r="L161">
        <v>0</v>
      </c>
      <c r="M161">
        <v>24000</v>
      </c>
      <c r="N161">
        <v>15000</v>
      </c>
      <c r="O161" t="s">
        <v>23</v>
      </c>
      <c r="P161" t="s">
        <v>40</v>
      </c>
      <c r="Q161">
        <f t="shared" si="16"/>
        <v>24000</v>
      </c>
      <c r="R161">
        <f t="shared" si="17"/>
        <v>0</v>
      </c>
      <c r="S161">
        <f t="shared" si="18"/>
        <v>15000</v>
      </c>
      <c r="T161">
        <f t="shared" si="19"/>
        <v>9000</v>
      </c>
      <c r="U161">
        <f t="shared" si="20"/>
        <v>5</v>
      </c>
      <c r="V161" t="b">
        <f t="shared" si="21"/>
        <v>0</v>
      </c>
      <c r="W161">
        <f t="shared" si="22"/>
        <v>4</v>
      </c>
      <c r="X161" t="b">
        <f t="shared" si="23"/>
        <v>0</v>
      </c>
    </row>
    <row r="162" spans="1:24" x14ac:dyDescent="0.35">
      <c r="A162">
        <v>100161</v>
      </c>
      <c r="B162" s="1">
        <v>46230</v>
      </c>
      <c r="C162" t="s">
        <v>50</v>
      </c>
      <c r="D162" t="s">
        <v>51</v>
      </c>
      <c r="E162" t="s">
        <v>18</v>
      </c>
      <c r="F162" t="s">
        <v>19</v>
      </c>
      <c r="G162" t="s">
        <v>20</v>
      </c>
      <c r="H162" t="s">
        <v>171</v>
      </c>
      <c r="I162" t="s">
        <v>30</v>
      </c>
      <c r="J162">
        <v>3</v>
      </c>
      <c r="K162">
        <v>58000</v>
      </c>
      <c r="L162">
        <v>0</v>
      </c>
      <c r="M162">
        <v>174000</v>
      </c>
      <c r="N162">
        <v>39000</v>
      </c>
      <c r="O162" t="s">
        <v>23</v>
      </c>
      <c r="P162" t="s">
        <v>58</v>
      </c>
      <c r="Q162">
        <f t="shared" si="16"/>
        <v>174000</v>
      </c>
      <c r="R162">
        <f t="shared" si="17"/>
        <v>0</v>
      </c>
      <c r="S162">
        <f t="shared" si="18"/>
        <v>117000</v>
      </c>
      <c r="T162">
        <f t="shared" si="19"/>
        <v>57000</v>
      </c>
      <c r="U162">
        <f t="shared" si="20"/>
        <v>6</v>
      </c>
      <c r="V162" t="b">
        <f t="shared" si="21"/>
        <v>0</v>
      </c>
      <c r="W162">
        <f t="shared" si="22"/>
        <v>4</v>
      </c>
      <c r="X162" t="b">
        <f t="shared" si="23"/>
        <v>0</v>
      </c>
    </row>
    <row r="163" spans="1:24" x14ac:dyDescent="0.35">
      <c r="A163">
        <v>100162</v>
      </c>
      <c r="B163" s="1">
        <v>46129</v>
      </c>
      <c r="C163" t="s">
        <v>50</v>
      </c>
      <c r="D163" t="s">
        <v>51</v>
      </c>
      <c r="E163" t="s">
        <v>18</v>
      </c>
      <c r="F163" t="s">
        <v>44</v>
      </c>
      <c r="G163" t="s">
        <v>60</v>
      </c>
      <c r="H163" t="s">
        <v>172</v>
      </c>
      <c r="I163" t="s">
        <v>22</v>
      </c>
      <c r="J163">
        <v>1</v>
      </c>
      <c r="K163">
        <v>9000</v>
      </c>
      <c r="L163">
        <v>0</v>
      </c>
      <c r="M163">
        <v>9000</v>
      </c>
      <c r="N163">
        <v>3500</v>
      </c>
      <c r="O163" t="s">
        <v>23</v>
      </c>
      <c r="P163" t="s">
        <v>54</v>
      </c>
      <c r="Q163">
        <f t="shared" si="16"/>
        <v>9000</v>
      </c>
      <c r="R163">
        <f t="shared" si="17"/>
        <v>0</v>
      </c>
      <c r="S163">
        <f t="shared" si="18"/>
        <v>3500</v>
      </c>
      <c r="T163">
        <f t="shared" si="19"/>
        <v>5500</v>
      </c>
      <c r="U163">
        <f t="shared" si="20"/>
        <v>6</v>
      </c>
      <c r="V163" t="b">
        <f t="shared" si="21"/>
        <v>0</v>
      </c>
      <c r="W163">
        <f t="shared" si="22"/>
        <v>11</v>
      </c>
      <c r="X163" t="b">
        <f t="shared" si="23"/>
        <v>0</v>
      </c>
    </row>
    <row r="164" spans="1:24" x14ac:dyDescent="0.35">
      <c r="A164">
        <v>100163</v>
      </c>
      <c r="B164" s="1">
        <v>46199</v>
      </c>
      <c r="C164" t="s">
        <v>35</v>
      </c>
      <c r="D164" t="s">
        <v>36</v>
      </c>
      <c r="E164" t="s">
        <v>37</v>
      </c>
      <c r="F164" t="s">
        <v>27</v>
      </c>
      <c r="G164" t="s">
        <v>38</v>
      </c>
      <c r="H164" t="s">
        <v>173</v>
      </c>
      <c r="I164" t="s">
        <v>22</v>
      </c>
      <c r="J164">
        <v>5</v>
      </c>
      <c r="K164">
        <v>26000</v>
      </c>
      <c r="L164">
        <v>0.15</v>
      </c>
      <c r="M164">
        <v>88400</v>
      </c>
      <c r="N164">
        <v>15000</v>
      </c>
      <c r="O164" t="s">
        <v>23</v>
      </c>
      <c r="P164" t="s">
        <v>47</v>
      </c>
      <c r="Q164">
        <f t="shared" si="16"/>
        <v>110500</v>
      </c>
      <c r="R164">
        <f t="shared" si="17"/>
        <v>-22100</v>
      </c>
      <c r="S164">
        <f t="shared" si="18"/>
        <v>75000</v>
      </c>
      <c r="T164">
        <f t="shared" si="19"/>
        <v>35500</v>
      </c>
      <c r="U164">
        <f t="shared" si="20"/>
        <v>4</v>
      </c>
      <c r="V164" t="b">
        <f t="shared" si="21"/>
        <v>0</v>
      </c>
      <c r="W164">
        <f t="shared" si="22"/>
        <v>11</v>
      </c>
      <c r="X164" t="b">
        <f t="shared" si="23"/>
        <v>0</v>
      </c>
    </row>
    <row r="165" spans="1:24" x14ac:dyDescent="0.35">
      <c r="A165">
        <v>100164</v>
      </c>
      <c r="B165" s="1">
        <v>46106</v>
      </c>
      <c r="C165" t="s">
        <v>35</v>
      </c>
      <c r="D165" t="s">
        <v>36</v>
      </c>
      <c r="E165" t="s">
        <v>37</v>
      </c>
      <c r="F165" t="s">
        <v>27</v>
      </c>
      <c r="G165" t="s">
        <v>28</v>
      </c>
      <c r="H165" t="s">
        <v>174</v>
      </c>
      <c r="I165" t="s">
        <v>30</v>
      </c>
      <c r="J165">
        <v>5</v>
      </c>
      <c r="K165">
        <v>165000</v>
      </c>
      <c r="L165">
        <v>0.05</v>
      </c>
      <c r="M165">
        <v>783750</v>
      </c>
      <c r="N165">
        <v>112000</v>
      </c>
      <c r="O165" t="s">
        <v>23</v>
      </c>
      <c r="P165" t="s">
        <v>24</v>
      </c>
      <c r="Q165">
        <f t="shared" si="16"/>
        <v>783750</v>
      </c>
      <c r="R165">
        <f t="shared" si="17"/>
        <v>0</v>
      </c>
      <c r="S165">
        <f t="shared" si="18"/>
        <v>560000</v>
      </c>
      <c r="T165">
        <f t="shared" si="19"/>
        <v>223750</v>
      </c>
      <c r="U165">
        <f t="shared" si="20"/>
        <v>4</v>
      </c>
      <c r="V165" t="b">
        <f t="shared" si="21"/>
        <v>0</v>
      </c>
      <c r="W165">
        <f t="shared" si="22"/>
        <v>11</v>
      </c>
      <c r="X165" t="b">
        <f t="shared" si="23"/>
        <v>0</v>
      </c>
    </row>
    <row r="166" spans="1:24" x14ac:dyDescent="0.35">
      <c r="A166">
        <v>100165</v>
      </c>
      <c r="B166" s="1">
        <v>46159</v>
      </c>
      <c r="C166" t="s">
        <v>25</v>
      </c>
      <c r="D166" t="s">
        <v>26</v>
      </c>
      <c r="E166" t="s">
        <v>37</v>
      </c>
      <c r="F166" t="s">
        <v>27</v>
      </c>
      <c r="G166" t="s">
        <v>28</v>
      </c>
      <c r="H166" t="s">
        <v>89</v>
      </c>
      <c r="I166" t="s">
        <v>30</v>
      </c>
      <c r="J166">
        <v>1</v>
      </c>
      <c r="K166">
        <v>165000</v>
      </c>
      <c r="L166">
        <v>0</v>
      </c>
      <c r="M166">
        <v>165000</v>
      </c>
      <c r="N166">
        <v>112000</v>
      </c>
      <c r="O166" t="s">
        <v>23</v>
      </c>
      <c r="P166" t="s">
        <v>54</v>
      </c>
      <c r="Q166">
        <f t="shared" si="16"/>
        <v>165000</v>
      </c>
      <c r="R166">
        <f t="shared" si="17"/>
        <v>0</v>
      </c>
      <c r="S166">
        <f t="shared" si="18"/>
        <v>112000</v>
      </c>
      <c r="T166">
        <f t="shared" si="19"/>
        <v>53000</v>
      </c>
      <c r="U166">
        <f t="shared" si="20"/>
        <v>5</v>
      </c>
      <c r="V166" t="b">
        <f t="shared" si="21"/>
        <v>0</v>
      </c>
      <c r="W166">
        <f t="shared" si="22"/>
        <v>11</v>
      </c>
      <c r="X166" t="b">
        <f t="shared" si="23"/>
        <v>0</v>
      </c>
    </row>
    <row r="167" spans="1:24" x14ac:dyDescent="0.35">
      <c r="A167">
        <v>100166</v>
      </c>
      <c r="B167" s="1">
        <v>46144</v>
      </c>
      <c r="C167" t="s">
        <v>25</v>
      </c>
      <c r="D167" t="s">
        <v>26</v>
      </c>
      <c r="E167" t="s">
        <v>37</v>
      </c>
      <c r="F167" t="s">
        <v>27</v>
      </c>
      <c r="G167" t="s">
        <v>33</v>
      </c>
      <c r="H167" t="s">
        <v>175</v>
      </c>
      <c r="I167" t="s">
        <v>30</v>
      </c>
      <c r="J167">
        <v>3</v>
      </c>
      <c r="K167">
        <v>32000</v>
      </c>
      <c r="L167">
        <v>0.05</v>
      </c>
      <c r="M167">
        <v>91200</v>
      </c>
      <c r="N167">
        <v>19000</v>
      </c>
      <c r="O167" t="s">
        <v>23</v>
      </c>
      <c r="P167" t="s">
        <v>84</v>
      </c>
      <c r="Q167">
        <f t="shared" si="16"/>
        <v>91200</v>
      </c>
      <c r="R167">
        <f t="shared" si="17"/>
        <v>0</v>
      </c>
      <c r="S167">
        <f t="shared" si="18"/>
        <v>57000</v>
      </c>
      <c r="T167">
        <f t="shared" si="19"/>
        <v>34200</v>
      </c>
      <c r="U167">
        <f t="shared" si="20"/>
        <v>5</v>
      </c>
      <c r="V167" t="b">
        <f t="shared" si="21"/>
        <v>0</v>
      </c>
      <c r="W167">
        <f t="shared" si="22"/>
        <v>11</v>
      </c>
      <c r="X167" t="b">
        <f t="shared" si="23"/>
        <v>0</v>
      </c>
    </row>
    <row r="168" spans="1:24" x14ac:dyDescent="0.35">
      <c r="A168">
        <v>100167</v>
      </c>
      <c r="B168" s="1">
        <v>46252</v>
      </c>
      <c r="C168" t="s">
        <v>42</v>
      </c>
      <c r="D168" t="s">
        <v>26</v>
      </c>
      <c r="E168" t="s">
        <v>18</v>
      </c>
      <c r="F168" t="s">
        <v>27</v>
      </c>
      <c r="G168" t="s">
        <v>33</v>
      </c>
      <c r="H168" t="s">
        <v>176</v>
      </c>
      <c r="I168" t="s">
        <v>22</v>
      </c>
      <c r="J168">
        <v>1</v>
      </c>
      <c r="K168">
        <v>32000</v>
      </c>
      <c r="L168">
        <v>0.1</v>
      </c>
      <c r="M168">
        <v>28800</v>
      </c>
      <c r="N168">
        <v>19000</v>
      </c>
      <c r="O168" t="s">
        <v>23</v>
      </c>
      <c r="P168" t="s">
        <v>84</v>
      </c>
      <c r="Q168">
        <f t="shared" si="16"/>
        <v>28800</v>
      </c>
      <c r="R168">
        <f t="shared" si="17"/>
        <v>0</v>
      </c>
      <c r="S168">
        <f t="shared" si="18"/>
        <v>19000</v>
      </c>
      <c r="T168">
        <f t="shared" si="19"/>
        <v>9800</v>
      </c>
      <c r="U168">
        <f t="shared" si="20"/>
        <v>5</v>
      </c>
      <c r="V168" t="b">
        <f t="shared" si="21"/>
        <v>0</v>
      </c>
      <c r="W168">
        <f t="shared" si="22"/>
        <v>11</v>
      </c>
      <c r="X168" t="b">
        <f t="shared" si="23"/>
        <v>0</v>
      </c>
    </row>
    <row r="169" spans="1:24" x14ac:dyDescent="0.35">
      <c r="A169">
        <v>100168</v>
      </c>
      <c r="B169" s="1">
        <v>46251</v>
      </c>
      <c r="C169" t="s">
        <v>35</v>
      </c>
      <c r="D169" t="s">
        <v>36</v>
      </c>
      <c r="E169" t="s">
        <v>18</v>
      </c>
      <c r="F169" t="s">
        <v>27</v>
      </c>
      <c r="G169" t="s">
        <v>33</v>
      </c>
      <c r="H169" t="s">
        <v>69</v>
      </c>
      <c r="I169" t="s">
        <v>22</v>
      </c>
      <c r="J169">
        <v>22</v>
      </c>
      <c r="K169">
        <v>32000</v>
      </c>
      <c r="L169">
        <v>0.05</v>
      </c>
      <c r="M169">
        <v>668800</v>
      </c>
      <c r="N169">
        <v>19000</v>
      </c>
      <c r="O169" t="s">
        <v>76</v>
      </c>
      <c r="P169" t="s">
        <v>24</v>
      </c>
      <c r="Q169">
        <f t="shared" si="16"/>
        <v>668800</v>
      </c>
      <c r="R169">
        <f t="shared" si="17"/>
        <v>0</v>
      </c>
      <c r="S169">
        <f t="shared" si="18"/>
        <v>418000</v>
      </c>
      <c r="T169">
        <f t="shared" si="19"/>
        <v>250800</v>
      </c>
      <c r="U169">
        <f t="shared" si="20"/>
        <v>4</v>
      </c>
      <c r="V169" t="b">
        <f t="shared" si="21"/>
        <v>0</v>
      </c>
      <c r="W169">
        <f t="shared" si="22"/>
        <v>11</v>
      </c>
      <c r="X169" t="b">
        <f t="shared" si="23"/>
        <v>0</v>
      </c>
    </row>
    <row r="170" spans="1:24" x14ac:dyDescent="0.35">
      <c r="A170">
        <v>100169</v>
      </c>
      <c r="B170" s="1">
        <v>46055</v>
      </c>
      <c r="C170" t="s">
        <v>32</v>
      </c>
      <c r="D170" t="s">
        <v>17</v>
      </c>
      <c r="E170" t="s">
        <v>18</v>
      </c>
      <c r="F170" t="s">
        <v>27</v>
      </c>
      <c r="G170" t="s">
        <v>38</v>
      </c>
      <c r="H170" t="s">
        <v>177</v>
      </c>
      <c r="I170" t="s">
        <v>30</v>
      </c>
      <c r="J170">
        <v>3</v>
      </c>
      <c r="K170">
        <v>26000</v>
      </c>
      <c r="L170">
        <v>0.15</v>
      </c>
      <c r="M170">
        <v>66300</v>
      </c>
      <c r="N170">
        <v>15000</v>
      </c>
      <c r="O170" t="s">
        <v>76</v>
      </c>
      <c r="P170" t="s">
        <v>58</v>
      </c>
      <c r="Q170">
        <f t="shared" si="16"/>
        <v>66300</v>
      </c>
      <c r="R170">
        <f t="shared" si="17"/>
        <v>0</v>
      </c>
      <c r="S170">
        <f t="shared" si="18"/>
        <v>45000</v>
      </c>
      <c r="T170">
        <f t="shared" si="19"/>
        <v>21300</v>
      </c>
      <c r="U170">
        <f t="shared" si="20"/>
        <v>5</v>
      </c>
      <c r="V170" t="b">
        <f t="shared" si="21"/>
        <v>0</v>
      </c>
      <c r="W170">
        <f t="shared" si="22"/>
        <v>11</v>
      </c>
      <c r="X170" t="b">
        <f t="shared" si="23"/>
        <v>0</v>
      </c>
    </row>
    <row r="171" spans="1:24" x14ac:dyDescent="0.35">
      <c r="A171">
        <v>100170</v>
      </c>
      <c r="B171" s="1">
        <v>46158</v>
      </c>
      <c r="C171" t="s">
        <v>42</v>
      </c>
      <c r="D171" t="s">
        <v>26</v>
      </c>
      <c r="E171" t="s">
        <v>43</v>
      </c>
      <c r="F171" t="s">
        <v>27</v>
      </c>
      <c r="G171" t="s">
        <v>38</v>
      </c>
      <c r="H171" t="s">
        <v>74</v>
      </c>
      <c r="I171" t="s">
        <v>22</v>
      </c>
      <c r="J171">
        <v>1</v>
      </c>
      <c r="K171">
        <v>26000</v>
      </c>
      <c r="L171">
        <v>0.05</v>
      </c>
      <c r="M171">
        <v>24700</v>
      </c>
      <c r="N171">
        <v>15000</v>
      </c>
      <c r="O171" t="s">
        <v>23</v>
      </c>
      <c r="P171" t="s">
        <v>64</v>
      </c>
      <c r="Q171">
        <f t="shared" si="16"/>
        <v>24700</v>
      </c>
      <c r="R171">
        <f t="shared" si="17"/>
        <v>0</v>
      </c>
      <c r="S171">
        <f t="shared" si="18"/>
        <v>15000</v>
      </c>
      <c r="T171">
        <f t="shared" si="19"/>
        <v>9700</v>
      </c>
      <c r="U171">
        <f t="shared" si="20"/>
        <v>5</v>
      </c>
      <c r="V171" t="b">
        <f t="shared" si="21"/>
        <v>0</v>
      </c>
      <c r="W171">
        <f t="shared" si="22"/>
        <v>11</v>
      </c>
      <c r="X171" t="b">
        <f t="shared" si="23"/>
        <v>0</v>
      </c>
    </row>
    <row r="172" spans="1:24" x14ac:dyDescent="0.35">
      <c r="A172">
        <v>100171</v>
      </c>
      <c r="B172" s="1">
        <v>46227</v>
      </c>
      <c r="C172" t="s">
        <v>35</v>
      </c>
      <c r="D172" t="s">
        <v>36</v>
      </c>
      <c r="E172" t="s">
        <v>37</v>
      </c>
      <c r="F172" t="s">
        <v>19</v>
      </c>
      <c r="G172" t="s">
        <v>62</v>
      </c>
      <c r="H172" t="s">
        <v>178</v>
      </c>
      <c r="I172" t="s">
        <v>30</v>
      </c>
      <c r="J172">
        <v>3</v>
      </c>
      <c r="K172">
        <v>24000</v>
      </c>
      <c r="L172">
        <v>0.15</v>
      </c>
      <c r="M172">
        <v>61200</v>
      </c>
      <c r="N172">
        <v>15000</v>
      </c>
      <c r="O172" t="s">
        <v>23</v>
      </c>
      <c r="P172" t="s">
        <v>40</v>
      </c>
      <c r="Q172">
        <f t="shared" si="16"/>
        <v>61200</v>
      </c>
      <c r="R172">
        <f t="shared" si="17"/>
        <v>0</v>
      </c>
      <c r="S172">
        <f t="shared" si="18"/>
        <v>45000</v>
      </c>
      <c r="T172">
        <f t="shared" si="19"/>
        <v>16200</v>
      </c>
      <c r="U172">
        <f t="shared" si="20"/>
        <v>4</v>
      </c>
      <c r="V172" t="b">
        <f t="shared" si="21"/>
        <v>0</v>
      </c>
      <c r="W172">
        <f t="shared" si="22"/>
        <v>4</v>
      </c>
      <c r="X172" t="b">
        <f t="shared" si="23"/>
        <v>0</v>
      </c>
    </row>
    <row r="173" spans="1:24" x14ac:dyDescent="0.35">
      <c r="A173">
        <v>100172</v>
      </c>
      <c r="B173" s="1">
        <v>46110</v>
      </c>
      <c r="C173" t="s">
        <v>50</v>
      </c>
      <c r="D173" t="s">
        <v>51</v>
      </c>
      <c r="E173" t="s">
        <v>43</v>
      </c>
      <c r="F173" t="s">
        <v>44</v>
      </c>
      <c r="G173" t="s">
        <v>65</v>
      </c>
      <c r="H173" t="s">
        <v>165</v>
      </c>
      <c r="I173" t="s">
        <v>22</v>
      </c>
      <c r="J173">
        <v>2</v>
      </c>
      <c r="K173">
        <v>28000</v>
      </c>
      <c r="L173">
        <v>0.15</v>
      </c>
      <c r="M173">
        <v>52360</v>
      </c>
      <c r="N173">
        <v>16000</v>
      </c>
      <c r="O173" t="s">
        <v>23</v>
      </c>
      <c r="P173" t="s">
        <v>58</v>
      </c>
      <c r="Q173">
        <f t="shared" si="16"/>
        <v>47600</v>
      </c>
      <c r="R173">
        <f t="shared" si="17"/>
        <v>4760</v>
      </c>
      <c r="S173">
        <f t="shared" si="18"/>
        <v>32000</v>
      </c>
      <c r="T173">
        <f t="shared" si="19"/>
        <v>15600</v>
      </c>
      <c r="U173">
        <f t="shared" si="20"/>
        <v>6</v>
      </c>
      <c r="V173" t="b">
        <f t="shared" si="21"/>
        <v>0</v>
      </c>
      <c r="W173">
        <f t="shared" si="22"/>
        <v>11</v>
      </c>
      <c r="X173" t="b">
        <f t="shared" si="23"/>
        <v>0</v>
      </c>
    </row>
    <row r="174" spans="1:24" x14ac:dyDescent="0.35">
      <c r="A174">
        <v>100173</v>
      </c>
      <c r="B174" s="1">
        <v>46052</v>
      </c>
      <c r="C174" t="s">
        <v>35</v>
      </c>
      <c r="D174" t="s">
        <v>36</v>
      </c>
      <c r="E174" t="s">
        <v>37</v>
      </c>
      <c r="F174" t="s">
        <v>44</v>
      </c>
      <c r="G174" t="s">
        <v>45</v>
      </c>
      <c r="H174" t="s">
        <v>179</v>
      </c>
      <c r="I174" t="s">
        <v>30</v>
      </c>
      <c r="J174">
        <v>1</v>
      </c>
      <c r="K174">
        <v>6500</v>
      </c>
      <c r="L174">
        <v>0.1</v>
      </c>
      <c r="M174">
        <v>5850</v>
      </c>
      <c r="N174">
        <v>2200</v>
      </c>
      <c r="O174" t="s">
        <v>76</v>
      </c>
      <c r="P174" t="s">
        <v>24</v>
      </c>
      <c r="Q174">
        <f t="shared" si="16"/>
        <v>5850</v>
      </c>
      <c r="R174">
        <f t="shared" si="17"/>
        <v>0</v>
      </c>
      <c r="S174">
        <f t="shared" si="18"/>
        <v>2200</v>
      </c>
      <c r="T174">
        <f t="shared" si="19"/>
        <v>3650</v>
      </c>
      <c r="U174">
        <f t="shared" si="20"/>
        <v>4</v>
      </c>
      <c r="V174" t="b">
        <f t="shared" si="21"/>
        <v>0</v>
      </c>
      <c r="W174">
        <f t="shared" si="22"/>
        <v>11</v>
      </c>
      <c r="X174" t="b">
        <f t="shared" si="23"/>
        <v>0</v>
      </c>
    </row>
    <row r="175" spans="1:24" x14ac:dyDescent="0.35">
      <c r="A175">
        <v>100174</v>
      </c>
      <c r="B175" s="1">
        <v>46237</v>
      </c>
      <c r="C175" t="s">
        <v>25</v>
      </c>
      <c r="D175" t="s">
        <v>26</v>
      </c>
      <c r="E175" t="s">
        <v>43</v>
      </c>
      <c r="F175" t="s">
        <v>44</v>
      </c>
      <c r="G175" t="s">
        <v>45</v>
      </c>
      <c r="H175" t="s">
        <v>171</v>
      </c>
      <c r="I175" t="s">
        <v>30</v>
      </c>
      <c r="J175">
        <v>2</v>
      </c>
      <c r="K175">
        <v>6500</v>
      </c>
      <c r="L175">
        <v>0.15</v>
      </c>
      <c r="M175">
        <v>11050</v>
      </c>
      <c r="N175">
        <v>2200</v>
      </c>
      <c r="O175" t="s">
        <v>23</v>
      </c>
      <c r="P175" t="s">
        <v>84</v>
      </c>
      <c r="Q175">
        <f t="shared" si="16"/>
        <v>11050</v>
      </c>
      <c r="R175">
        <f t="shared" si="17"/>
        <v>0</v>
      </c>
      <c r="S175">
        <f t="shared" si="18"/>
        <v>4400</v>
      </c>
      <c r="T175">
        <f t="shared" si="19"/>
        <v>6650</v>
      </c>
      <c r="U175">
        <f t="shared" si="20"/>
        <v>5</v>
      </c>
      <c r="V175" t="b">
        <f t="shared" si="21"/>
        <v>0</v>
      </c>
      <c r="W175">
        <f t="shared" si="22"/>
        <v>11</v>
      </c>
      <c r="X175" t="b">
        <f t="shared" si="23"/>
        <v>0</v>
      </c>
    </row>
    <row r="176" spans="1:24" x14ac:dyDescent="0.35">
      <c r="A176">
        <v>100175</v>
      </c>
      <c r="B176" s="1">
        <v>46039</v>
      </c>
      <c r="C176" t="s">
        <v>16</v>
      </c>
      <c r="D176" t="s">
        <v>17</v>
      </c>
      <c r="E176" t="s">
        <v>43</v>
      </c>
      <c r="F176" t="s">
        <v>19</v>
      </c>
      <c r="G176" t="s">
        <v>62</v>
      </c>
      <c r="H176" t="s">
        <v>179</v>
      </c>
      <c r="I176" t="s">
        <v>30</v>
      </c>
      <c r="J176">
        <v>5</v>
      </c>
      <c r="K176">
        <v>24000</v>
      </c>
      <c r="L176">
        <v>0.25</v>
      </c>
      <c r="M176">
        <v>90000</v>
      </c>
      <c r="N176">
        <v>15000</v>
      </c>
      <c r="O176" t="s">
        <v>23</v>
      </c>
      <c r="P176" t="s">
        <v>58</v>
      </c>
      <c r="Q176">
        <f t="shared" si="16"/>
        <v>90000</v>
      </c>
      <c r="R176">
        <f t="shared" si="17"/>
        <v>0</v>
      </c>
      <c r="S176">
        <f t="shared" si="18"/>
        <v>75000</v>
      </c>
      <c r="T176">
        <f t="shared" si="19"/>
        <v>15000</v>
      </c>
      <c r="U176">
        <f t="shared" si="20"/>
        <v>5</v>
      </c>
      <c r="V176" t="b">
        <f t="shared" si="21"/>
        <v>0</v>
      </c>
      <c r="W176">
        <f t="shared" si="22"/>
        <v>4</v>
      </c>
      <c r="X176" t="b">
        <f t="shared" si="23"/>
        <v>0</v>
      </c>
    </row>
    <row r="177" spans="1:24" x14ac:dyDescent="0.35">
      <c r="A177">
        <v>100176</v>
      </c>
      <c r="B177" s="1">
        <v>46255</v>
      </c>
      <c r="C177" t="s">
        <v>50</v>
      </c>
      <c r="D177" t="s">
        <v>51</v>
      </c>
      <c r="E177" t="s">
        <v>37</v>
      </c>
      <c r="F177" t="s">
        <v>44</v>
      </c>
      <c r="G177" t="s">
        <v>60</v>
      </c>
      <c r="H177" t="s">
        <v>69</v>
      </c>
      <c r="I177" t="s">
        <v>22</v>
      </c>
      <c r="J177">
        <v>2</v>
      </c>
      <c r="K177">
        <v>9000</v>
      </c>
      <c r="L177">
        <v>0.1</v>
      </c>
      <c r="M177">
        <v>16200</v>
      </c>
      <c r="N177">
        <v>3500</v>
      </c>
      <c r="O177" t="s">
        <v>23</v>
      </c>
      <c r="P177" t="s">
        <v>64</v>
      </c>
      <c r="Q177">
        <f t="shared" si="16"/>
        <v>16200</v>
      </c>
      <c r="R177">
        <f t="shared" si="17"/>
        <v>0</v>
      </c>
      <c r="S177">
        <f t="shared" si="18"/>
        <v>7000</v>
      </c>
      <c r="T177">
        <f t="shared" si="19"/>
        <v>9200</v>
      </c>
      <c r="U177">
        <f t="shared" si="20"/>
        <v>6</v>
      </c>
      <c r="V177" t="b">
        <f t="shared" si="21"/>
        <v>0</v>
      </c>
      <c r="W177">
        <f t="shared" si="22"/>
        <v>11</v>
      </c>
      <c r="X177" t="b">
        <f t="shared" si="23"/>
        <v>0</v>
      </c>
    </row>
    <row r="178" spans="1:24" x14ac:dyDescent="0.35">
      <c r="A178">
        <v>100177</v>
      </c>
      <c r="B178" s="1">
        <v>46180</v>
      </c>
      <c r="C178" t="s">
        <v>16</v>
      </c>
      <c r="D178" t="s">
        <v>17</v>
      </c>
      <c r="E178" t="s">
        <v>18</v>
      </c>
      <c r="F178" t="s">
        <v>19</v>
      </c>
      <c r="G178" t="s">
        <v>20</v>
      </c>
      <c r="H178" t="s">
        <v>68</v>
      </c>
      <c r="I178" t="s">
        <v>22</v>
      </c>
      <c r="J178">
        <v>1</v>
      </c>
      <c r="K178">
        <v>58000</v>
      </c>
      <c r="L178">
        <v>0.2</v>
      </c>
      <c r="M178">
        <v>46400</v>
      </c>
      <c r="N178">
        <v>39000</v>
      </c>
      <c r="O178" t="s">
        <v>23</v>
      </c>
      <c r="P178" t="s">
        <v>31</v>
      </c>
      <c r="Q178">
        <f t="shared" si="16"/>
        <v>46400</v>
      </c>
      <c r="R178">
        <f t="shared" si="17"/>
        <v>0</v>
      </c>
      <c r="S178">
        <f t="shared" si="18"/>
        <v>39000</v>
      </c>
      <c r="T178">
        <f t="shared" si="19"/>
        <v>7400</v>
      </c>
      <c r="U178">
        <f t="shared" si="20"/>
        <v>5</v>
      </c>
      <c r="V178" t="b">
        <f t="shared" si="21"/>
        <v>0</v>
      </c>
      <c r="W178">
        <f t="shared" si="22"/>
        <v>4</v>
      </c>
      <c r="X178" t="b">
        <f t="shared" si="23"/>
        <v>0</v>
      </c>
    </row>
    <row r="179" spans="1:24" x14ac:dyDescent="0.35">
      <c r="A179">
        <v>100178</v>
      </c>
      <c r="B179" s="1">
        <v>46095</v>
      </c>
      <c r="C179" t="s">
        <v>35</v>
      </c>
      <c r="D179" t="s">
        <v>36</v>
      </c>
      <c r="E179" t="s">
        <v>43</v>
      </c>
      <c r="F179" t="s">
        <v>44</v>
      </c>
      <c r="G179" t="s">
        <v>45</v>
      </c>
      <c r="H179" t="s">
        <v>34</v>
      </c>
      <c r="I179" t="s">
        <v>30</v>
      </c>
      <c r="J179">
        <v>2</v>
      </c>
      <c r="K179">
        <v>6500</v>
      </c>
      <c r="L179">
        <v>0.15</v>
      </c>
      <c r="M179">
        <v>11050</v>
      </c>
      <c r="N179" s="4">
        <v>2200</v>
      </c>
      <c r="O179" t="s">
        <v>23</v>
      </c>
      <c r="P179" t="s">
        <v>40</v>
      </c>
      <c r="Q179">
        <f t="shared" si="16"/>
        <v>11050</v>
      </c>
      <c r="R179">
        <f t="shared" si="17"/>
        <v>0</v>
      </c>
      <c r="S179">
        <f t="shared" si="18"/>
        <v>4400</v>
      </c>
      <c r="T179">
        <f t="shared" si="19"/>
        <v>6650</v>
      </c>
      <c r="U179">
        <f t="shared" si="20"/>
        <v>4</v>
      </c>
      <c r="V179" t="b">
        <f t="shared" si="21"/>
        <v>0</v>
      </c>
      <c r="W179">
        <f t="shared" si="22"/>
        <v>11</v>
      </c>
      <c r="X179" t="b">
        <f t="shared" si="23"/>
        <v>0</v>
      </c>
    </row>
    <row r="180" spans="1:24" x14ac:dyDescent="0.35">
      <c r="A180">
        <v>100179</v>
      </c>
      <c r="B180" s="1">
        <v>46085</v>
      </c>
      <c r="C180" t="s">
        <v>35</v>
      </c>
      <c r="D180" t="s">
        <v>36</v>
      </c>
      <c r="E180" t="s">
        <v>43</v>
      </c>
      <c r="F180" t="s">
        <v>27</v>
      </c>
      <c r="G180" t="s">
        <v>33</v>
      </c>
      <c r="H180" t="s">
        <v>180</v>
      </c>
      <c r="I180" t="s">
        <v>30</v>
      </c>
      <c r="J180">
        <v>5</v>
      </c>
      <c r="K180">
        <v>32000</v>
      </c>
      <c r="L180">
        <v>0.15</v>
      </c>
      <c r="M180">
        <v>136000</v>
      </c>
      <c r="N180">
        <v>19000</v>
      </c>
      <c r="O180" t="s">
        <v>23</v>
      </c>
      <c r="P180" t="s">
        <v>40</v>
      </c>
      <c r="Q180">
        <f t="shared" si="16"/>
        <v>136000</v>
      </c>
      <c r="R180">
        <f t="shared" si="17"/>
        <v>0</v>
      </c>
      <c r="S180">
        <f t="shared" si="18"/>
        <v>95000</v>
      </c>
      <c r="T180">
        <f t="shared" si="19"/>
        <v>41000</v>
      </c>
      <c r="U180">
        <f t="shared" si="20"/>
        <v>4</v>
      </c>
      <c r="V180" t="b">
        <f t="shared" si="21"/>
        <v>0</v>
      </c>
      <c r="W180">
        <f t="shared" si="22"/>
        <v>11</v>
      </c>
      <c r="X180" t="b">
        <f t="shared" si="23"/>
        <v>0</v>
      </c>
    </row>
    <row r="181" spans="1:24" x14ac:dyDescent="0.35">
      <c r="A181">
        <v>100180</v>
      </c>
      <c r="B181" s="1">
        <v>46167</v>
      </c>
      <c r="C181" t="s">
        <v>42</v>
      </c>
      <c r="D181" t="s">
        <v>26</v>
      </c>
      <c r="E181" t="s">
        <v>43</v>
      </c>
      <c r="F181" t="s">
        <v>44</v>
      </c>
      <c r="G181" t="s">
        <v>65</v>
      </c>
      <c r="H181" t="s">
        <v>46</v>
      </c>
      <c r="I181" t="s">
        <v>22</v>
      </c>
      <c r="J181">
        <v>3</v>
      </c>
      <c r="K181">
        <v>28000</v>
      </c>
      <c r="L181">
        <v>0.05</v>
      </c>
      <c r="M181">
        <v>79800</v>
      </c>
      <c r="N181">
        <v>16000</v>
      </c>
      <c r="O181" t="s">
        <v>23</v>
      </c>
      <c r="P181" t="s">
        <v>24</v>
      </c>
      <c r="Q181">
        <f t="shared" si="16"/>
        <v>79800</v>
      </c>
      <c r="R181">
        <f t="shared" si="17"/>
        <v>0</v>
      </c>
      <c r="S181">
        <f t="shared" si="18"/>
        <v>48000</v>
      </c>
      <c r="T181">
        <f t="shared" si="19"/>
        <v>31800</v>
      </c>
      <c r="U181">
        <f t="shared" si="20"/>
        <v>5</v>
      </c>
      <c r="V181" t="b">
        <f t="shared" si="21"/>
        <v>0</v>
      </c>
      <c r="W181">
        <f t="shared" si="22"/>
        <v>11</v>
      </c>
      <c r="X181" t="b">
        <f t="shared" si="23"/>
        <v>0</v>
      </c>
    </row>
    <row r="182" spans="1:24" x14ac:dyDescent="0.35">
      <c r="A182">
        <v>100181</v>
      </c>
      <c r="B182" s="1">
        <v>46052</v>
      </c>
      <c r="C182" t="s">
        <v>55</v>
      </c>
      <c r="D182" t="s">
        <v>56</v>
      </c>
      <c r="E182" t="s">
        <v>37</v>
      </c>
      <c r="F182" t="s">
        <v>19</v>
      </c>
      <c r="G182" t="s">
        <v>62</v>
      </c>
      <c r="H182" t="s">
        <v>181</v>
      </c>
      <c r="I182" t="s">
        <v>30</v>
      </c>
      <c r="J182">
        <v>1</v>
      </c>
      <c r="K182">
        <v>24000</v>
      </c>
      <c r="L182">
        <v>0.1</v>
      </c>
      <c r="M182">
        <v>21600</v>
      </c>
      <c r="N182">
        <v>15000</v>
      </c>
      <c r="O182" t="s">
        <v>76</v>
      </c>
      <c r="P182" t="s">
        <v>24</v>
      </c>
      <c r="Q182">
        <f t="shared" si="16"/>
        <v>21600</v>
      </c>
      <c r="R182">
        <f t="shared" si="17"/>
        <v>0</v>
      </c>
      <c r="S182">
        <f t="shared" si="18"/>
        <v>15000</v>
      </c>
      <c r="T182">
        <f t="shared" si="19"/>
        <v>6600</v>
      </c>
      <c r="U182">
        <f t="shared" si="20"/>
        <v>13</v>
      </c>
      <c r="V182" t="b">
        <f t="shared" si="21"/>
        <v>0</v>
      </c>
      <c r="W182">
        <f t="shared" si="22"/>
        <v>4</v>
      </c>
      <c r="X182" t="b">
        <f t="shared" si="23"/>
        <v>0</v>
      </c>
    </row>
    <row r="183" spans="1:24" x14ac:dyDescent="0.35">
      <c r="A183">
        <v>100182</v>
      </c>
      <c r="B183" s="1">
        <v>46094</v>
      </c>
      <c r="C183" t="s">
        <v>32</v>
      </c>
      <c r="D183" t="s">
        <v>17</v>
      </c>
      <c r="E183" t="s">
        <v>37</v>
      </c>
      <c r="F183" t="s">
        <v>44</v>
      </c>
      <c r="G183" t="s">
        <v>65</v>
      </c>
      <c r="H183" t="s">
        <v>130</v>
      </c>
      <c r="I183" t="s">
        <v>30</v>
      </c>
      <c r="J183">
        <v>2</v>
      </c>
      <c r="K183">
        <v>28000</v>
      </c>
      <c r="L183">
        <v>0.2</v>
      </c>
      <c r="M183">
        <v>44800</v>
      </c>
      <c r="N183">
        <v>16000</v>
      </c>
      <c r="O183" t="s">
        <v>76</v>
      </c>
      <c r="P183" t="s">
        <v>31</v>
      </c>
      <c r="Q183">
        <f t="shared" si="16"/>
        <v>44800</v>
      </c>
      <c r="R183">
        <f t="shared" si="17"/>
        <v>0</v>
      </c>
      <c r="S183">
        <f t="shared" si="18"/>
        <v>32000</v>
      </c>
      <c r="T183">
        <f t="shared" si="19"/>
        <v>12800</v>
      </c>
      <c r="U183">
        <f t="shared" si="20"/>
        <v>5</v>
      </c>
      <c r="V183" t="b">
        <f t="shared" si="21"/>
        <v>0</v>
      </c>
      <c r="W183">
        <f t="shared" si="22"/>
        <v>11</v>
      </c>
      <c r="X183" t="b">
        <f t="shared" si="23"/>
        <v>0</v>
      </c>
    </row>
    <row r="184" spans="1:24" x14ac:dyDescent="0.35">
      <c r="A184">
        <v>100183</v>
      </c>
      <c r="B184" s="1">
        <v>46219</v>
      </c>
      <c r="C184" t="s">
        <v>50</v>
      </c>
      <c r="D184" t="s">
        <v>51</v>
      </c>
      <c r="E184" t="s">
        <v>43</v>
      </c>
      <c r="F184" t="s">
        <v>19</v>
      </c>
      <c r="G184" t="s">
        <v>20</v>
      </c>
      <c r="H184" t="s">
        <v>182</v>
      </c>
      <c r="I184" t="s">
        <v>30</v>
      </c>
      <c r="J184">
        <v>5</v>
      </c>
      <c r="K184">
        <v>58000</v>
      </c>
      <c r="L184">
        <v>0.15</v>
      </c>
      <c r="M184">
        <v>246500</v>
      </c>
      <c r="N184">
        <v>39000</v>
      </c>
      <c r="O184" t="s">
        <v>23</v>
      </c>
      <c r="P184" t="s">
        <v>40</v>
      </c>
      <c r="Q184">
        <f t="shared" si="16"/>
        <v>246500</v>
      </c>
      <c r="R184">
        <f t="shared" si="17"/>
        <v>0</v>
      </c>
      <c r="S184">
        <f t="shared" si="18"/>
        <v>195000</v>
      </c>
      <c r="T184">
        <f t="shared" si="19"/>
        <v>51500</v>
      </c>
      <c r="U184">
        <f t="shared" si="20"/>
        <v>6</v>
      </c>
      <c r="V184" t="b">
        <f t="shared" si="21"/>
        <v>0</v>
      </c>
      <c r="W184">
        <f t="shared" si="22"/>
        <v>4</v>
      </c>
      <c r="X184" t="b">
        <f t="shared" si="23"/>
        <v>0</v>
      </c>
    </row>
    <row r="185" spans="1:24" x14ac:dyDescent="0.35">
      <c r="A185">
        <v>100184</v>
      </c>
      <c r="B185" s="1">
        <v>46044</v>
      </c>
      <c r="C185" t="s">
        <v>42</v>
      </c>
      <c r="D185" t="s">
        <v>26</v>
      </c>
      <c r="E185" t="s">
        <v>43</v>
      </c>
      <c r="F185" t="s">
        <v>19</v>
      </c>
      <c r="G185" t="s">
        <v>52</v>
      </c>
      <c r="H185" t="s">
        <v>179</v>
      </c>
      <c r="I185" t="s">
        <v>22</v>
      </c>
      <c r="J185">
        <v>1</v>
      </c>
      <c r="K185">
        <v>42000</v>
      </c>
      <c r="L185">
        <v>0</v>
      </c>
      <c r="M185">
        <v>42000</v>
      </c>
      <c r="N185">
        <v>28000</v>
      </c>
      <c r="O185" t="s">
        <v>23</v>
      </c>
      <c r="P185" t="s">
        <v>58</v>
      </c>
      <c r="Q185">
        <f t="shared" si="16"/>
        <v>42000</v>
      </c>
      <c r="R185">
        <f t="shared" si="17"/>
        <v>0</v>
      </c>
      <c r="S185">
        <f t="shared" si="18"/>
        <v>28000</v>
      </c>
      <c r="T185">
        <f t="shared" si="19"/>
        <v>14000</v>
      </c>
      <c r="U185">
        <f t="shared" si="20"/>
        <v>5</v>
      </c>
      <c r="V185" t="b">
        <f t="shared" si="21"/>
        <v>0</v>
      </c>
      <c r="W185">
        <f t="shared" si="22"/>
        <v>4</v>
      </c>
      <c r="X185" t="b">
        <f t="shared" si="23"/>
        <v>0</v>
      </c>
    </row>
    <row r="186" spans="1:24" x14ac:dyDescent="0.35">
      <c r="A186">
        <v>100185</v>
      </c>
      <c r="B186" s="1">
        <v>46035</v>
      </c>
      <c r="C186" t="s">
        <v>32</v>
      </c>
      <c r="D186" t="s">
        <v>17</v>
      </c>
      <c r="E186" t="s">
        <v>18</v>
      </c>
      <c r="F186" t="s">
        <v>19</v>
      </c>
      <c r="G186" t="s">
        <v>52</v>
      </c>
      <c r="H186" t="s">
        <v>183</v>
      </c>
      <c r="I186" t="s">
        <v>30</v>
      </c>
      <c r="J186">
        <v>2</v>
      </c>
      <c r="K186">
        <v>42000</v>
      </c>
      <c r="L186">
        <v>0.15</v>
      </c>
      <c r="M186">
        <v>71400</v>
      </c>
      <c r="N186">
        <v>28000</v>
      </c>
      <c r="O186" t="s">
        <v>23</v>
      </c>
      <c r="P186" t="s">
        <v>31</v>
      </c>
      <c r="Q186">
        <f t="shared" si="16"/>
        <v>71400</v>
      </c>
      <c r="R186">
        <f t="shared" si="17"/>
        <v>0</v>
      </c>
      <c r="S186">
        <f t="shared" si="18"/>
        <v>56000</v>
      </c>
      <c r="T186">
        <f t="shared" si="19"/>
        <v>15400</v>
      </c>
      <c r="U186">
        <f t="shared" si="20"/>
        <v>5</v>
      </c>
      <c r="V186" t="b">
        <f t="shared" si="21"/>
        <v>0</v>
      </c>
      <c r="W186">
        <f t="shared" si="22"/>
        <v>4</v>
      </c>
      <c r="X186" t="b">
        <f t="shared" si="23"/>
        <v>0</v>
      </c>
    </row>
    <row r="187" spans="1:24" x14ac:dyDescent="0.35">
      <c r="A187">
        <v>100186</v>
      </c>
      <c r="B187" s="1">
        <v>46041</v>
      </c>
      <c r="C187" t="s">
        <v>16</v>
      </c>
      <c r="D187" t="s">
        <v>17</v>
      </c>
      <c r="E187" t="s">
        <v>37</v>
      </c>
      <c r="F187" t="s">
        <v>44</v>
      </c>
      <c r="G187" t="s">
        <v>60</v>
      </c>
      <c r="H187" t="s">
        <v>140</v>
      </c>
      <c r="I187" t="s">
        <v>22</v>
      </c>
      <c r="J187">
        <v>2</v>
      </c>
      <c r="K187">
        <v>9000</v>
      </c>
      <c r="L187">
        <v>0.05</v>
      </c>
      <c r="M187">
        <v>17100</v>
      </c>
      <c r="N187">
        <v>3500</v>
      </c>
      <c r="O187" t="s">
        <v>23</v>
      </c>
      <c r="P187" t="s">
        <v>40</v>
      </c>
      <c r="Q187">
        <f t="shared" si="16"/>
        <v>17100</v>
      </c>
      <c r="R187">
        <f t="shared" si="17"/>
        <v>0</v>
      </c>
      <c r="S187">
        <f t="shared" si="18"/>
        <v>7000</v>
      </c>
      <c r="T187">
        <f t="shared" si="19"/>
        <v>10100</v>
      </c>
      <c r="U187">
        <f t="shared" si="20"/>
        <v>5</v>
      </c>
      <c r="V187" t="b">
        <f t="shared" si="21"/>
        <v>0</v>
      </c>
      <c r="W187">
        <f t="shared" si="22"/>
        <v>11</v>
      </c>
      <c r="X187" t="b">
        <f t="shared" si="23"/>
        <v>0</v>
      </c>
    </row>
    <row r="188" spans="1:24" x14ac:dyDescent="0.35">
      <c r="A188">
        <v>100187</v>
      </c>
      <c r="B188" s="1">
        <v>46025</v>
      </c>
      <c r="C188" t="s">
        <v>35</v>
      </c>
      <c r="D188" t="s">
        <v>36</v>
      </c>
      <c r="E188" t="s">
        <v>43</v>
      </c>
      <c r="F188" t="s">
        <v>19</v>
      </c>
      <c r="G188" t="s">
        <v>20</v>
      </c>
      <c r="H188" t="s">
        <v>184</v>
      </c>
      <c r="I188" t="s">
        <v>22</v>
      </c>
      <c r="J188">
        <v>2</v>
      </c>
      <c r="K188">
        <v>58000</v>
      </c>
      <c r="L188">
        <v>0.1</v>
      </c>
      <c r="M188">
        <v>104400</v>
      </c>
      <c r="N188">
        <v>39000</v>
      </c>
      <c r="O188" t="s">
        <v>23</v>
      </c>
      <c r="P188" t="s">
        <v>64</v>
      </c>
      <c r="Q188">
        <f t="shared" si="16"/>
        <v>104400</v>
      </c>
      <c r="R188">
        <f t="shared" si="17"/>
        <v>0</v>
      </c>
      <c r="S188">
        <f t="shared" si="18"/>
        <v>78000</v>
      </c>
      <c r="T188">
        <f t="shared" si="19"/>
        <v>26400</v>
      </c>
      <c r="U188">
        <f t="shared" si="20"/>
        <v>4</v>
      </c>
      <c r="V188" t="b">
        <f t="shared" si="21"/>
        <v>0</v>
      </c>
      <c r="W188">
        <f t="shared" si="22"/>
        <v>4</v>
      </c>
      <c r="X188" t="b">
        <f t="shared" si="23"/>
        <v>0</v>
      </c>
    </row>
    <row r="189" spans="1:24" x14ac:dyDescent="0.35">
      <c r="A189">
        <v>100188</v>
      </c>
      <c r="B189" s="1">
        <v>46170</v>
      </c>
      <c r="C189" t="s">
        <v>35</v>
      </c>
      <c r="D189" t="s">
        <v>36</v>
      </c>
      <c r="E189" t="s">
        <v>37</v>
      </c>
      <c r="F189" t="s">
        <v>27</v>
      </c>
      <c r="G189" t="s">
        <v>33</v>
      </c>
      <c r="H189" t="s">
        <v>144</v>
      </c>
      <c r="I189" t="s">
        <v>22</v>
      </c>
      <c r="J189">
        <v>1</v>
      </c>
      <c r="K189">
        <v>32000</v>
      </c>
      <c r="L189">
        <v>0.1</v>
      </c>
      <c r="M189">
        <v>28800</v>
      </c>
      <c r="N189">
        <v>19000</v>
      </c>
      <c r="O189" t="s">
        <v>23</v>
      </c>
      <c r="P189" t="s">
        <v>31</v>
      </c>
      <c r="Q189">
        <f t="shared" si="16"/>
        <v>28800</v>
      </c>
      <c r="R189">
        <f t="shared" si="17"/>
        <v>0</v>
      </c>
      <c r="S189">
        <f t="shared" si="18"/>
        <v>19000</v>
      </c>
      <c r="T189">
        <f t="shared" si="19"/>
        <v>9800</v>
      </c>
      <c r="U189">
        <f t="shared" si="20"/>
        <v>4</v>
      </c>
      <c r="V189" t="b">
        <f t="shared" si="21"/>
        <v>0</v>
      </c>
      <c r="W189">
        <f t="shared" si="22"/>
        <v>11</v>
      </c>
      <c r="X189" t="b">
        <f t="shared" si="23"/>
        <v>0</v>
      </c>
    </row>
    <row r="190" spans="1:24" x14ac:dyDescent="0.35">
      <c r="A190">
        <v>100189</v>
      </c>
      <c r="B190" s="1">
        <v>46136</v>
      </c>
      <c r="C190" t="s">
        <v>16</v>
      </c>
      <c r="D190" t="s">
        <v>17</v>
      </c>
      <c r="E190" t="s">
        <v>18</v>
      </c>
      <c r="F190" t="s">
        <v>44</v>
      </c>
      <c r="G190" t="s">
        <v>45</v>
      </c>
      <c r="H190" t="s">
        <v>167</v>
      </c>
      <c r="I190" t="s">
        <v>30</v>
      </c>
      <c r="J190">
        <v>1</v>
      </c>
      <c r="K190">
        <v>6500</v>
      </c>
      <c r="L190">
        <v>0.05</v>
      </c>
      <c r="M190">
        <v>6175</v>
      </c>
      <c r="N190">
        <v>2200</v>
      </c>
      <c r="O190" t="s">
        <v>23</v>
      </c>
      <c r="P190" t="s">
        <v>24</v>
      </c>
      <c r="Q190">
        <f t="shared" si="16"/>
        <v>6175</v>
      </c>
      <c r="R190">
        <f t="shared" si="17"/>
        <v>0</v>
      </c>
      <c r="S190">
        <f t="shared" si="18"/>
        <v>2200</v>
      </c>
      <c r="T190">
        <f t="shared" si="19"/>
        <v>3975</v>
      </c>
      <c r="U190">
        <f t="shared" si="20"/>
        <v>5</v>
      </c>
      <c r="V190" t="b">
        <f t="shared" si="21"/>
        <v>0</v>
      </c>
      <c r="W190">
        <f t="shared" si="22"/>
        <v>11</v>
      </c>
      <c r="X190" t="b">
        <f t="shared" si="23"/>
        <v>0</v>
      </c>
    </row>
    <row r="191" spans="1:24" x14ac:dyDescent="0.35">
      <c r="A191">
        <v>100190</v>
      </c>
      <c r="B191" s="1">
        <v>46158</v>
      </c>
      <c r="C191" t="s">
        <v>25</v>
      </c>
      <c r="D191" t="s">
        <v>26</v>
      </c>
      <c r="E191" t="s">
        <v>18</v>
      </c>
      <c r="F191" t="s">
        <v>19</v>
      </c>
      <c r="G191" t="s">
        <v>52</v>
      </c>
      <c r="H191" t="s">
        <v>66</v>
      </c>
      <c r="I191" t="s">
        <v>30</v>
      </c>
      <c r="J191">
        <v>2</v>
      </c>
      <c r="K191">
        <v>42000</v>
      </c>
      <c r="L191">
        <v>0.15</v>
      </c>
      <c r="M191">
        <v>71400</v>
      </c>
      <c r="N191">
        <v>28000</v>
      </c>
      <c r="O191" t="s">
        <v>23</v>
      </c>
      <c r="P191" t="s">
        <v>47</v>
      </c>
      <c r="Q191">
        <f t="shared" si="16"/>
        <v>71400</v>
      </c>
      <c r="R191">
        <f t="shared" si="17"/>
        <v>0</v>
      </c>
      <c r="S191">
        <f t="shared" si="18"/>
        <v>56000</v>
      </c>
      <c r="T191">
        <f t="shared" si="19"/>
        <v>15400</v>
      </c>
      <c r="U191">
        <f t="shared" si="20"/>
        <v>5</v>
      </c>
      <c r="V191" t="b">
        <f t="shared" si="21"/>
        <v>0</v>
      </c>
      <c r="W191">
        <f t="shared" si="22"/>
        <v>4</v>
      </c>
      <c r="X191" t="b">
        <f t="shared" si="23"/>
        <v>0</v>
      </c>
    </row>
    <row r="192" spans="1:24" x14ac:dyDescent="0.35">
      <c r="A192">
        <v>100191</v>
      </c>
      <c r="B192" s="1">
        <v>46051</v>
      </c>
      <c r="C192" t="s">
        <v>50</v>
      </c>
      <c r="D192" t="s">
        <v>51</v>
      </c>
      <c r="E192" t="s">
        <v>43</v>
      </c>
      <c r="F192" t="s">
        <v>44</v>
      </c>
      <c r="G192" t="s">
        <v>45</v>
      </c>
      <c r="H192" t="s">
        <v>178</v>
      </c>
      <c r="I192" t="s">
        <v>22</v>
      </c>
      <c r="J192">
        <v>3</v>
      </c>
      <c r="K192">
        <v>6500</v>
      </c>
      <c r="L192">
        <v>0.1</v>
      </c>
      <c r="M192">
        <v>17550</v>
      </c>
      <c r="N192">
        <v>2200</v>
      </c>
      <c r="O192" t="s">
        <v>23</v>
      </c>
      <c r="P192" t="s">
        <v>58</v>
      </c>
      <c r="Q192">
        <f t="shared" si="16"/>
        <v>17550</v>
      </c>
      <c r="R192">
        <f t="shared" si="17"/>
        <v>0</v>
      </c>
      <c r="S192">
        <f t="shared" si="18"/>
        <v>6600</v>
      </c>
      <c r="T192">
        <f t="shared" si="19"/>
        <v>10950</v>
      </c>
      <c r="U192">
        <f t="shared" si="20"/>
        <v>6</v>
      </c>
      <c r="V192" t="b">
        <f t="shared" si="21"/>
        <v>0</v>
      </c>
      <c r="W192">
        <f t="shared" si="22"/>
        <v>11</v>
      </c>
      <c r="X192" t="b">
        <f t="shared" si="23"/>
        <v>0</v>
      </c>
    </row>
    <row r="193" spans="1:24" x14ac:dyDescent="0.35">
      <c r="A193">
        <v>100192</v>
      </c>
      <c r="B193" s="1">
        <v>46088</v>
      </c>
      <c r="C193" t="s">
        <v>35</v>
      </c>
      <c r="D193" t="s">
        <v>36</v>
      </c>
      <c r="E193" t="s">
        <v>37</v>
      </c>
      <c r="F193" t="s">
        <v>27</v>
      </c>
      <c r="G193" t="s">
        <v>28</v>
      </c>
      <c r="H193" t="s">
        <v>134</v>
      </c>
      <c r="I193" t="s">
        <v>30</v>
      </c>
      <c r="J193">
        <v>2</v>
      </c>
      <c r="K193">
        <v>165000</v>
      </c>
      <c r="L193">
        <v>0.1</v>
      </c>
      <c r="M193">
        <v>267300</v>
      </c>
      <c r="N193">
        <v>112000</v>
      </c>
      <c r="O193" t="s">
        <v>23</v>
      </c>
      <c r="P193" t="s">
        <v>58</v>
      </c>
      <c r="Q193">
        <f t="shared" si="16"/>
        <v>297000</v>
      </c>
      <c r="R193">
        <f t="shared" si="17"/>
        <v>-29700</v>
      </c>
      <c r="S193">
        <f t="shared" si="18"/>
        <v>224000</v>
      </c>
      <c r="T193">
        <f t="shared" si="19"/>
        <v>73000</v>
      </c>
      <c r="U193">
        <f t="shared" si="20"/>
        <v>4</v>
      </c>
      <c r="V193" t="b">
        <f t="shared" si="21"/>
        <v>0</v>
      </c>
      <c r="W193">
        <f t="shared" si="22"/>
        <v>11</v>
      </c>
      <c r="X193" t="b">
        <f t="shared" si="23"/>
        <v>0</v>
      </c>
    </row>
    <row r="194" spans="1:24" x14ac:dyDescent="0.35">
      <c r="A194">
        <v>100193</v>
      </c>
      <c r="B194" s="1">
        <v>46226</v>
      </c>
      <c r="C194" t="s">
        <v>55</v>
      </c>
      <c r="D194" t="s">
        <v>56</v>
      </c>
      <c r="E194" t="s">
        <v>37</v>
      </c>
      <c r="F194" t="s">
        <v>27</v>
      </c>
      <c r="G194" t="s">
        <v>38</v>
      </c>
      <c r="H194" t="s">
        <v>181</v>
      </c>
      <c r="I194" t="s">
        <v>22</v>
      </c>
      <c r="J194">
        <v>3</v>
      </c>
      <c r="K194">
        <v>26000</v>
      </c>
      <c r="L194">
        <v>0.1</v>
      </c>
      <c r="M194">
        <v>70200</v>
      </c>
      <c r="N194">
        <v>15000</v>
      </c>
      <c r="O194" t="s">
        <v>23</v>
      </c>
      <c r="P194" t="s">
        <v>47</v>
      </c>
      <c r="Q194">
        <f t="shared" ref="Q194:Q257" si="24">J194*K194*(1-L194)</f>
        <v>70200</v>
      </c>
      <c r="R194">
        <f t="shared" ref="R194:R257" si="25">M194-Q194</f>
        <v>0</v>
      </c>
      <c r="S194">
        <f t="shared" si="18"/>
        <v>45000</v>
      </c>
      <c r="T194">
        <f t="shared" si="19"/>
        <v>25200</v>
      </c>
      <c r="U194">
        <f t="shared" si="20"/>
        <v>13</v>
      </c>
      <c r="V194" t="b">
        <f t="shared" si="21"/>
        <v>0</v>
      </c>
      <c r="W194">
        <f t="shared" si="22"/>
        <v>11</v>
      </c>
      <c r="X194" t="b">
        <f t="shared" si="23"/>
        <v>0</v>
      </c>
    </row>
    <row r="195" spans="1:24" x14ac:dyDescent="0.35">
      <c r="A195">
        <v>100194</v>
      </c>
      <c r="B195" s="1">
        <v>46165</v>
      </c>
      <c r="C195" t="s">
        <v>16</v>
      </c>
      <c r="D195" t="s">
        <v>17</v>
      </c>
      <c r="E195" t="s">
        <v>18</v>
      </c>
      <c r="F195" t="s">
        <v>27</v>
      </c>
      <c r="G195" t="s">
        <v>28</v>
      </c>
      <c r="H195" t="s">
        <v>133</v>
      </c>
      <c r="I195" t="s">
        <v>30</v>
      </c>
      <c r="J195">
        <v>3</v>
      </c>
      <c r="K195">
        <v>165000</v>
      </c>
      <c r="L195">
        <v>0.25</v>
      </c>
      <c r="M195">
        <v>371250</v>
      </c>
      <c r="N195">
        <v>112000</v>
      </c>
      <c r="O195" t="s">
        <v>23</v>
      </c>
      <c r="P195" t="s">
        <v>47</v>
      </c>
      <c r="Q195">
        <f t="shared" si="24"/>
        <v>371250</v>
      </c>
      <c r="R195">
        <f t="shared" si="25"/>
        <v>0</v>
      </c>
      <c r="S195">
        <f t="shared" ref="S195:S258" si="26">J195*N195</f>
        <v>336000</v>
      </c>
      <c r="T195">
        <f t="shared" ref="T195:T258" si="27">Q195-S195</f>
        <v>35250</v>
      </c>
      <c r="U195">
        <f t="shared" ref="U195:U258" si="28">LEN(D195)</f>
        <v>5</v>
      </c>
      <c r="V195" t="b">
        <f t="shared" ref="V195:V258" si="29">AND(LEFT(D195,5)="Lagos",LEN(D195)&gt;5)</f>
        <v>0</v>
      </c>
      <c r="W195">
        <f t="shared" ref="W195:W258" si="30">LEN(F195)</f>
        <v>11</v>
      </c>
      <c r="X195" t="b">
        <f t="shared" ref="X195:X258" si="31">AND(LEFT(F195,11)="Accessories",LEN(F195)&gt;11)</f>
        <v>0</v>
      </c>
    </row>
    <row r="196" spans="1:24" x14ac:dyDescent="0.35">
      <c r="A196">
        <v>100195</v>
      </c>
      <c r="B196" s="1">
        <v>46109</v>
      </c>
      <c r="C196" t="s">
        <v>55</v>
      </c>
      <c r="D196" t="s">
        <v>56</v>
      </c>
      <c r="E196" t="s">
        <v>43</v>
      </c>
      <c r="F196" t="s">
        <v>19</v>
      </c>
      <c r="G196" t="s">
        <v>62</v>
      </c>
      <c r="H196" t="s">
        <v>123</v>
      </c>
      <c r="I196" t="s">
        <v>22</v>
      </c>
      <c r="J196">
        <v>2</v>
      </c>
      <c r="K196">
        <v>24000</v>
      </c>
      <c r="L196">
        <v>0.05</v>
      </c>
      <c r="M196">
        <v>45600</v>
      </c>
      <c r="N196">
        <v>15000</v>
      </c>
      <c r="O196" t="s">
        <v>23</v>
      </c>
      <c r="P196" t="s">
        <v>64</v>
      </c>
      <c r="Q196">
        <f t="shared" si="24"/>
        <v>45600</v>
      </c>
      <c r="R196">
        <f t="shared" si="25"/>
        <v>0</v>
      </c>
      <c r="S196">
        <f t="shared" si="26"/>
        <v>30000</v>
      </c>
      <c r="T196">
        <f t="shared" si="27"/>
        <v>15600</v>
      </c>
      <c r="U196">
        <f t="shared" si="28"/>
        <v>13</v>
      </c>
      <c r="V196" t="b">
        <f t="shared" si="29"/>
        <v>0</v>
      </c>
      <c r="W196">
        <f t="shared" si="30"/>
        <v>4</v>
      </c>
      <c r="X196" t="b">
        <f t="shared" si="31"/>
        <v>0</v>
      </c>
    </row>
    <row r="197" spans="1:24" x14ac:dyDescent="0.35">
      <c r="A197">
        <v>100196</v>
      </c>
      <c r="B197" s="1">
        <v>46078</v>
      </c>
      <c r="C197" t="s">
        <v>42</v>
      </c>
      <c r="D197" t="s">
        <v>26</v>
      </c>
      <c r="E197" t="s">
        <v>43</v>
      </c>
      <c r="F197" t="s">
        <v>27</v>
      </c>
      <c r="G197" t="s">
        <v>33</v>
      </c>
      <c r="H197" t="s">
        <v>186</v>
      </c>
      <c r="I197" t="s">
        <v>30</v>
      </c>
      <c r="J197">
        <v>4</v>
      </c>
      <c r="K197">
        <v>32000</v>
      </c>
      <c r="L197">
        <v>0.1</v>
      </c>
      <c r="M197">
        <v>115200</v>
      </c>
      <c r="N197">
        <v>19000</v>
      </c>
      <c r="O197" t="s">
        <v>23</v>
      </c>
      <c r="P197" t="s">
        <v>40</v>
      </c>
      <c r="Q197">
        <f t="shared" si="24"/>
        <v>115200</v>
      </c>
      <c r="R197">
        <f t="shared" si="25"/>
        <v>0</v>
      </c>
      <c r="S197">
        <f t="shared" si="26"/>
        <v>76000</v>
      </c>
      <c r="T197">
        <f t="shared" si="27"/>
        <v>39200</v>
      </c>
      <c r="U197">
        <f t="shared" si="28"/>
        <v>5</v>
      </c>
      <c r="V197" t="b">
        <f t="shared" si="29"/>
        <v>0</v>
      </c>
      <c r="W197">
        <f t="shared" si="30"/>
        <v>11</v>
      </c>
      <c r="X197" t="b">
        <f t="shared" si="31"/>
        <v>0</v>
      </c>
    </row>
    <row r="198" spans="1:24" x14ac:dyDescent="0.35">
      <c r="A198">
        <v>100197</v>
      </c>
      <c r="B198" s="1">
        <v>46235</v>
      </c>
      <c r="C198" t="s">
        <v>32</v>
      </c>
      <c r="D198" t="s">
        <v>17</v>
      </c>
      <c r="E198" t="s">
        <v>37</v>
      </c>
      <c r="F198" t="s">
        <v>44</v>
      </c>
      <c r="G198" t="s">
        <v>60</v>
      </c>
      <c r="H198" t="s">
        <v>187</v>
      </c>
      <c r="I198" t="s">
        <v>30</v>
      </c>
      <c r="J198">
        <v>1</v>
      </c>
      <c r="K198">
        <v>9000</v>
      </c>
      <c r="L198">
        <v>0.25</v>
      </c>
      <c r="M198">
        <v>6750</v>
      </c>
      <c r="N198">
        <v>3500</v>
      </c>
      <c r="O198" t="s">
        <v>76</v>
      </c>
      <c r="P198" t="s">
        <v>31</v>
      </c>
      <c r="Q198">
        <f t="shared" si="24"/>
        <v>6750</v>
      </c>
      <c r="R198">
        <f t="shared" si="25"/>
        <v>0</v>
      </c>
      <c r="S198">
        <f t="shared" si="26"/>
        <v>3500</v>
      </c>
      <c r="T198">
        <f t="shared" si="27"/>
        <v>3250</v>
      </c>
      <c r="U198">
        <f t="shared" si="28"/>
        <v>5</v>
      </c>
      <c r="V198" t="b">
        <f t="shared" si="29"/>
        <v>0</v>
      </c>
      <c r="W198">
        <f t="shared" si="30"/>
        <v>11</v>
      </c>
      <c r="X198" t="b">
        <f t="shared" si="31"/>
        <v>0</v>
      </c>
    </row>
    <row r="199" spans="1:24" x14ac:dyDescent="0.35">
      <c r="A199">
        <v>100198</v>
      </c>
      <c r="B199" s="1">
        <v>46142</v>
      </c>
      <c r="C199" t="s">
        <v>35</v>
      </c>
      <c r="D199" t="s">
        <v>36</v>
      </c>
      <c r="E199" t="s">
        <v>37</v>
      </c>
      <c r="F199" t="s">
        <v>27</v>
      </c>
      <c r="G199" t="s">
        <v>28</v>
      </c>
      <c r="H199" t="s">
        <v>118</v>
      </c>
      <c r="I199" t="s">
        <v>30</v>
      </c>
      <c r="J199">
        <v>2</v>
      </c>
      <c r="K199">
        <v>165000</v>
      </c>
      <c r="L199">
        <v>0.05</v>
      </c>
      <c r="M199">
        <v>313500</v>
      </c>
      <c r="N199">
        <v>112000</v>
      </c>
      <c r="O199" t="s">
        <v>23</v>
      </c>
      <c r="P199" t="s">
        <v>54</v>
      </c>
      <c r="Q199">
        <f t="shared" si="24"/>
        <v>313500</v>
      </c>
      <c r="R199">
        <f t="shared" si="25"/>
        <v>0</v>
      </c>
      <c r="S199">
        <f t="shared" si="26"/>
        <v>224000</v>
      </c>
      <c r="T199">
        <f t="shared" si="27"/>
        <v>89500</v>
      </c>
      <c r="U199">
        <f t="shared" si="28"/>
        <v>4</v>
      </c>
      <c r="V199" t="b">
        <f t="shared" si="29"/>
        <v>0</v>
      </c>
      <c r="W199">
        <f t="shared" si="30"/>
        <v>11</v>
      </c>
      <c r="X199" t="b">
        <f t="shared" si="31"/>
        <v>0</v>
      </c>
    </row>
    <row r="200" spans="1:24" x14ac:dyDescent="0.35">
      <c r="A200">
        <v>100199</v>
      </c>
      <c r="B200" s="1">
        <v>46170</v>
      </c>
      <c r="C200" t="s">
        <v>50</v>
      </c>
      <c r="D200" t="s">
        <v>51</v>
      </c>
      <c r="E200" t="s">
        <v>18</v>
      </c>
      <c r="F200" t="s">
        <v>44</v>
      </c>
      <c r="G200" t="s">
        <v>65</v>
      </c>
      <c r="H200" t="s">
        <v>100</v>
      </c>
      <c r="I200" t="s">
        <v>30</v>
      </c>
      <c r="J200">
        <v>2</v>
      </c>
      <c r="K200">
        <v>28000</v>
      </c>
      <c r="L200">
        <v>0.05</v>
      </c>
      <c r="M200">
        <v>53200</v>
      </c>
      <c r="N200">
        <v>16000</v>
      </c>
      <c r="O200" t="s">
        <v>23</v>
      </c>
      <c r="P200" t="s">
        <v>58</v>
      </c>
      <c r="Q200">
        <f t="shared" si="24"/>
        <v>53200</v>
      </c>
      <c r="R200">
        <f t="shared" si="25"/>
        <v>0</v>
      </c>
      <c r="S200">
        <f t="shared" si="26"/>
        <v>32000</v>
      </c>
      <c r="T200">
        <f t="shared" si="27"/>
        <v>21200</v>
      </c>
      <c r="U200">
        <f t="shared" si="28"/>
        <v>6</v>
      </c>
      <c r="V200" t="b">
        <f t="shared" si="29"/>
        <v>0</v>
      </c>
      <c r="W200">
        <f t="shared" si="30"/>
        <v>11</v>
      </c>
      <c r="X200" t="b">
        <f t="shared" si="31"/>
        <v>0</v>
      </c>
    </row>
    <row r="201" spans="1:24" x14ac:dyDescent="0.35">
      <c r="A201">
        <v>100200</v>
      </c>
      <c r="B201" s="1">
        <v>46024</v>
      </c>
      <c r="C201" t="s">
        <v>35</v>
      </c>
      <c r="D201" t="s">
        <v>36</v>
      </c>
      <c r="E201" t="s">
        <v>43</v>
      </c>
      <c r="F201" t="s">
        <v>44</v>
      </c>
      <c r="G201" t="s">
        <v>65</v>
      </c>
      <c r="H201" t="s">
        <v>125</v>
      </c>
      <c r="I201" t="s">
        <v>30</v>
      </c>
      <c r="J201">
        <v>2</v>
      </c>
      <c r="K201">
        <v>28000</v>
      </c>
      <c r="L201">
        <v>0.05</v>
      </c>
      <c r="M201">
        <v>53200</v>
      </c>
      <c r="N201">
        <v>16000</v>
      </c>
      <c r="O201" t="s">
        <v>23</v>
      </c>
      <c r="P201" t="s">
        <v>64</v>
      </c>
      <c r="Q201">
        <f t="shared" si="24"/>
        <v>53200</v>
      </c>
      <c r="R201">
        <f t="shared" si="25"/>
        <v>0</v>
      </c>
      <c r="S201">
        <f t="shared" si="26"/>
        <v>32000</v>
      </c>
      <c r="T201">
        <f t="shared" si="27"/>
        <v>21200</v>
      </c>
      <c r="U201">
        <f t="shared" si="28"/>
        <v>4</v>
      </c>
      <c r="V201" t="b">
        <f t="shared" si="29"/>
        <v>0</v>
      </c>
      <c r="W201">
        <f t="shared" si="30"/>
        <v>11</v>
      </c>
      <c r="X201" t="b">
        <f t="shared" si="31"/>
        <v>0</v>
      </c>
    </row>
    <row r="202" spans="1:24" x14ac:dyDescent="0.35">
      <c r="A202">
        <v>100201</v>
      </c>
      <c r="B202" s="1">
        <v>46075</v>
      </c>
      <c r="C202" t="s">
        <v>35</v>
      </c>
      <c r="D202" t="s">
        <v>36</v>
      </c>
      <c r="E202" t="s">
        <v>37</v>
      </c>
      <c r="F202" t="s">
        <v>44</v>
      </c>
      <c r="G202" t="s">
        <v>45</v>
      </c>
      <c r="H202" t="s">
        <v>46</v>
      </c>
      <c r="I202" t="s">
        <v>22</v>
      </c>
      <c r="J202">
        <v>4</v>
      </c>
      <c r="K202">
        <v>6500</v>
      </c>
      <c r="L202">
        <v>0</v>
      </c>
      <c r="M202">
        <v>26000</v>
      </c>
      <c r="N202">
        <v>2200</v>
      </c>
      <c r="O202" t="s">
        <v>76</v>
      </c>
      <c r="P202" t="s">
        <v>84</v>
      </c>
      <c r="Q202">
        <f t="shared" si="24"/>
        <v>26000</v>
      </c>
      <c r="R202">
        <f t="shared" si="25"/>
        <v>0</v>
      </c>
      <c r="S202">
        <f t="shared" si="26"/>
        <v>8800</v>
      </c>
      <c r="T202">
        <f t="shared" si="27"/>
        <v>17200</v>
      </c>
      <c r="U202">
        <f t="shared" si="28"/>
        <v>4</v>
      </c>
      <c r="V202" t="b">
        <f t="shared" si="29"/>
        <v>0</v>
      </c>
      <c r="W202">
        <f t="shared" si="30"/>
        <v>11</v>
      </c>
      <c r="X202" t="b">
        <f t="shared" si="31"/>
        <v>0</v>
      </c>
    </row>
    <row r="203" spans="1:24" x14ac:dyDescent="0.35">
      <c r="A203">
        <v>100202</v>
      </c>
      <c r="B203" s="1">
        <v>46228</v>
      </c>
      <c r="C203" t="s">
        <v>32</v>
      </c>
      <c r="D203" t="s">
        <v>17</v>
      </c>
      <c r="E203" t="s">
        <v>37</v>
      </c>
      <c r="F203" t="s">
        <v>44</v>
      </c>
      <c r="G203" t="s">
        <v>45</v>
      </c>
      <c r="H203" t="s">
        <v>130</v>
      </c>
      <c r="I203" t="s">
        <v>22</v>
      </c>
      <c r="J203">
        <v>1</v>
      </c>
      <c r="K203">
        <v>6500</v>
      </c>
      <c r="L203">
        <v>0.05</v>
      </c>
      <c r="M203">
        <v>6175</v>
      </c>
      <c r="N203">
        <v>2200</v>
      </c>
      <c r="O203" t="s">
        <v>23</v>
      </c>
      <c r="P203" t="s">
        <v>54</v>
      </c>
      <c r="Q203">
        <f t="shared" si="24"/>
        <v>6175</v>
      </c>
      <c r="R203">
        <f t="shared" si="25"/>
        <v>0</v>
      </c>
      <c r="S203">
        <f t="shared" si="26"/>
        <v>2200</v>
      </c>
      <c r="T203">
        <f t="shared" si="27"/>
        <v>3975</v>
      </c>
      <c r="U203">
        <f t="shared" si="28"/>
        <v>5</v>
      </c>
      <c r="V203" t="b">
        <f t="shared" si="29"/>
        <v>0</v>
      </c>
      <c r="W203">
        <f t="shared" si="30"/>
        <v>11</v>
      </c>
      <c r="X203" t="b">
        <f t="shared" si="31"/>
        <v>0</v>
      </c>
    </row>
    <row r="204" spans="1:24" x14ac:dyDescent="0.35">
      <c r="A204">
        <v>100203</v>
      </c>
      <c r="B204" s="1">
        <v>46151</v>
      </c>
      <c r="C204" t="s">
        <v>32</v>
      </c>
      <c r="D204" t="s">
        <v>17</v>
      </c>
      <c r="E204" t="s">
        <v>43</v>
      </c>
      <c r="F204" t="s">
        <v>27</v>
      </c>
      <c r="G204" t="s">
        <v>28</v>
      </c>
      <c r="H204" t="s">
        <v>154</v>
      </c>
      <c r="I204" t="s">
        <v>30</v>
      </c>
      <c r="J204">
        <v>1</v>
      </c>
      <c r="K204">
        <v>165000</v>
      </c>
      <c r="L204">
        <v>0.25</v>
      </c>
      <c r="M204">
        <v>123750</v>
      </c>
      <c r="N204">
        <v>112000</v>
      </c>
      <c r="O204" t="s">
        <v>23</v>
      </c>
      <c r="P204" t="s">
        <v>64</v>
      </c>
      <c r="Q204">
        <f t="shared" si="24"/>
        <v>123750</v>
      </c>
      <c r="R204">
        <f t="shared" si="25"/>
        <v>0</v>
      </c>
      <c r="S204">
        <f t="shared" si="26"/>
        <v>112000</v>
      </c>
      <c r="T204">
        <f t="shared" si="27"/>
        <v>11750</v>
      </c>
      <c r="U204">
        <f t="shared" si="28"/>
        <v>5</v>
      </c>
      <c r="V204" t="b">
        <f t="shared" si="29"/>
        <v>0</v>
      </c>
      <c r="W204">
        <f t="shared" si="30"/>
        <v>11</v>
      </c>
      <c r="X204" t="b">
        <f t="shared" si="31"/>
        <v>0</v>
      </c>
    </row>
    <row r="205" spans="1:24" x14ac:dyDescent="0.35">
      <c r="A205">
        <v>100204</v>
      </c>
      <c r="B205" s="1">
        <v>46099</v>
      </c>
      <c r="C205" t="s">
        <v>16</v>
      </c>
      <c r="D205" t="s">
        <v>17</v>
      </c>
      <c r="E205" t="s">
        <v>43</v>
      </c>
      <c r="F205" t="s">
        <v>44</v>
      </c>
      <c r="G205" t="s">
        <v>60</v>
      </c>
      <c r="H205" t="s">
        <v>145</v>
      </c>
      <c r="I205" t="s">
        <v>30</v>
      </c>
      <c r="J205">
        <v>3</v>
      </c>
      <c r="K205">
        <v>9000</v>
      </c>
      <c r="L205">
        <v>0.25</v>
      </c>
      <c r="M205">
        <v>20250</v>
      </c>
      <c r="N205">
        <v>3500</v>
      </c>
      <c r="O205" t="s">
        <v>23</v>
      </c>
      <c r="P205" t="s">
        <v>54</v>
      </c>
      <c r="Q205">
        <f t="shared" si="24"/>
        <v>20250</v>
      </c>
      <c r="R205">
        <f t="shared" si="25"/>
        <v>0</v>
      </c>
      <c r="S205">
        <f t="shared" si="26"/>
        <v>10500</v>
      </c>
      <c r="T205">
        <f t="shared" si="27"/>
        <v>9750</v>
      </c>
      <c r="U205">
        <f t="shared" si="28"/>
        <v>5</v>
      </c>
      <c r="V205" t="b">
        <f t="shared" si="29"/>
        <v>0</v>
      </c>
      <c r="W205">
        <f t="shared" si="30"/>
        <v>11</v>
      </c>
      <c r="X205" t="b">
        <f t="shared" si="31"/>
        <v>0</v>
      </c>
    </row>
    <row r="206" spans="1:24" x14ac:dyDescent="0.35">
      <c r="A206">
        <v>100205</v>
      </c>
      <c r="B206" s="1">
        <v>46032</v>
      </c>
      <c r="C206" t="s">
        <v>55</v>
      </c>
      <c r="D206" t="s">
        <v>56</v>
      </c>
      <c r="E206" t="s">
        <v>37</v>
      </c>
      <c r="F206" t="s">
        <v>19</v>
      </c>
      <c r="G206" t="s">
        <v>62</v>
      </c>
      <c r="H206" t="s">
        <v>188</v>
      </c>
      <c r="I206" t="s">
        <v>22</v>
      </c>
      <c r="J206">
        <v>5</v>
      </c>
      <c r="K206">
        <v>24000</v>
      </c>
      <c r="L206">
        <v>0.1</v>
      </c>
      <c r="M206">
        <v>108000</v>
      </c>
      <c r="N206">
        <v>15000</v>
      </c>
      <c r="O206" t="s">
        <v>23</v>
      </c>
      <c r="P206" t="s">
        <v>40</v>
      </c>
      <c r="Q206">
        <f t="shared" si="24"/>
        <v>108000</v>
      </c>
      <c r="R206">
        <f t="shared" si="25"/>
        <v>0</v>
      </c>
      <c r="S206">
        <f t="shared" si="26"/>
        <v>75000</v>
      </c>
      <c r="T206">
        <f t="shared" si="27"/>
        <v>33000</v>
      </c>
      <c r="U206">
        <f t="shared" si="28"/>
        <v>13</v>
      </c>
      <c r="V206" t="b">
        <f t="shared" si="29"/>
        <v>0</v>
      </c>
      <c r="W206">
        <f t="shared" si="30"/>
        <v>4</v>
      </c>
      <c r="X206" t="b">
        <f t="shared" si="31"/>
        <v>0</v>
      </c>
    </row>
    <row r="207" spans="1:24" x14ac:dyDescent="0.35">
      <c r="A207">
        <v>100206</v>
      </c>
      <c r="B207" s="1">
        <v>46244</v>
      </c>
      <c r="C207" t="s">
        <v>42</v>
      </c>
      <c r="D207" t="s">
        <v>26</v>
      </c>
      <c r="E207" t="s">
        <v>18</v>
      </c>
      <c r="F207" t="s">
        <v>19</v>
      </c>
      <c r="G207" t="s">
        <v>20</v>
      </c>
      <c r="H207" t="s">
        <v>130</v>
      </c>
      <c r="I207" t="s">
        <v>22</v>
      </c>
      <c r="J207">
        <v>1</v>
      </c>
      <c r="K207">
        <v>58000</v>
      </c>
      <c r="L207">
        <v>0.15</v>
      </c>
      <c r="M207">
        <v>49300</v>
      </c>
      <c r="N207">
        <v>39000</v>
      </c>
      <c r="O207" t="s">
        <v>23</v>
      </c>
      <c r="P207" t="s">
        <v>84</v>
      </c>
      <c r="Q207">
        <f t="shared" si="24"/>
        <v>49300</v>
      </c>
      <c r="R207">
        <f t="shared" si="25"/>
        <v>0</v>
      </c>
      <c r="S207">
        <f t="shared" si="26"/>
        <v>39000</v>
      </c>
      <c r="T207">
        <f t="shared" si="27"/>
        <v>10300</v>
      </c>
      <c r="U207">
        <f t="shared" si="28"/>
        <v>5</v>
      </c>
      <c r="V207" t="b">
        <f t="shared" si="29"/>
        <v>0</v>
      </c>
      <c r="W207">
        <f t="shared" si="30"/>
        <v>4</v>
      </c>
      <c r="X207" t="b">
        <f t="shared" si="31"/>
        <v>0</v>
      </c>
    </row>
    <row r="208" spans="1:24" x14ac:dyDescent="0.35">
      <c r="A208">
        <v>100207</v>
      </c>
      <c r="B208" s="1">
        <v>46112</v>
      </c>
      <c r="C208" t="s">
        <v>50</v>
      </c>
      <c r="D208" t="s">
        <v>51</v>
      </c>
      <c r="E208" t="s">
        <v>43</v>
      </c>
      <c r="F208" t="s">
        <v>27</v>
      </c>
      <c r="G208" t="s">
        <v>28</v>
      </c>
      <c r="H208" t="s">
        <v>135</v>
      </c>
      <c r="I208" t="s">
        <v>30</v>
      </c>
      <c r="J208">
        <v>1</v>
      </c>
      <c r="K208">
        <v>165000</v>
      </c>
      <c r="L208">
        <v>0.1</v>
      </c>
      <c r="M208">
        <v>148500</v>
      </c>
      <c r="N208">
        <v>112000</v>
      </c>
      <c r="O208" t="s">
        <v>23</v>
      </c>
      <c r="P208" t="s">
        <v>31</v>
      </c>
      <c r="Q208">
        <f t="shared" si="24"/>
        <v>148500</v>
      </c>
      <c r="R208">
        <f t="shared" si="25"/>
        <v>0</v>
      </c>
      <c r="S208">
        <f t="shared" si="26"/>
        <v>112000</v>
      </c>
      <c r="T208">
        <f t="shared" si="27"/>
        <v>36500</v>
      </c>
      <c r="U208">
        <f t="shared" si="28"/>
        <v>6</v>
      </c>
      <c r="V208" t="b">
        <f t="shared" si="29"/>
        <v>0</v>
      </c>
      <c r="W208">
        <f t="shared" si="30"/>
        <v>11</v>
      </c>
      <c r="X208" t="b">
        <f t="shared" si="31"/>
        <v>0</v>
      </c>
    </row>
    <row r="209" spans="1:24" x14ac:dyDescent="0.35">
      <c r="A209">
        <v>100208</v>
      </c>
      <c r="B209" s="1">
        <v>46100</v>
      </c>
      <c r="C209" t="s">
        <v>16</v>
      </c>
      <c r="D209" t="s">
        <v>17</v>
      </c>
      <c r="E209" t="s">
        <v>43</v>
      </c>
      <c r="F209" t="s">
        <v>19</v>
      </c>
      <c r="G209" t="s">
        <v>20</v>
      </c>
      <c r="H209" t="s">
        <v>157</v>
      </c>
      <c r="I209" t="s">
        <v>30</v>
      </c>
      <c r="J209">
        <v>2</v>
      </c>
      <c r="K209">
        <v>58000</v>
      </c>
      <c r="L209">
        <v>0.15</v>
      </c>
      <c r="M209">
        <v>98600</v>
      </c>
      <c r="N209">
        <v>39000</v>
      </c>
      <c r="O209" t="s">
        <v>23</v>
      </c>
      <c r="P209" t="s">
        <v>31</v>
      </c>
      <c r="Q209">
        <f t="shared" si="24"/>
        <v>98600</v>
      </c>
      <c r="R209">
        <f t="shared" si="25"/>
        <v>0</v>
      </c>
      <c r="S209">
        <f t="shared" si="26"/>
        <v>78000</v>
      </c>
      <c r="T209">
        <f t="shared" si="27"/>
        <v>20600</v>
      </c>
      <c r="U209">
        <f t="shared" si="28"/>
        <v>5</v>
      </c>
      <c r="V209" t="b">
        <f t="shared" si="29"/>
        <v>0</v>
      </c>
      <c r="W209">
        <f t="shared" si="30"/>
        <v>4</v>
      </c>
      <c r="X209" t="b">
        <f t="shared" si="31"/>
        <v>0</v>
      </c>
    </row>
    <row r="210" spans="1:24" x14ac:dyDescent="0.35">
      <c r="A210">
        <v>100209</v>
      </c>
      <c r="B210" s="1">
        <v>46207</v>
      </c>
      <c r="C210" t="s">
        <v>35</v>
      </c>
      <c r="D210" t="s">
        <v>36</v>
      </c>
      <c r="E210" t="s">
        <v>43</v>
      </c>
      <c r="F210" t="s">
        <v>27</v>
      </c>
      <c r="G210" t="s">
        <v>38</v>
      </c>
      <c r="H210" t="s">
        <v>147</v>
      </c>
      <c r="I210" t="s">
        <v>30</v>
      </c>
      <c r="J210">
        <v>3</v>
      </c>
      <c r="K210">
        <v>26000</v>
      </c>
      <c r="L210">
        <v>0</v>
      </c>
      <c r="M210">
        <v>78000</v>
      </c>
      <c r="N210">
        <v>15000</v>
      </c>
      <c r="O210" t="s">
        <v>23</v>
      </c>
      <c r="P210" t="s">
        <v>31</v>
      </c>
      <c r="Q210">
        <f t="shared" si="24"/>
        <v>78000</v>
      </c>
      <c r="R210">
        <f t="shared" si="25"/>
        <v>0</v>
      </c>
      <c r="S210">
        <f t="shared" si="26"/>
        <v>45000</v>
      </c>
      <c r="T210">
        <f t="shared" si="27"/>
        <v>33000</v>
      </c>
      <c r="U210">
        <f t="shared" si="28"/>
        <v>4</v>
      </c>
      <c r="V210" t="b">
        <f t="shared" si="29"/>
        <v>0</v>
      </c>
      <c r="W210">
        <f t="shared" si="30"/>
        <v>11</v>
      </c>
      <c r="X210" t="b">
        <f t="shared" si="31"/>
        <v>0</v>
      </c>
    </row>
    <row r="211" spans="1:24" x14ac:dyDescent="0.35">
      <c r="A211">
        <v>100210</v>
      </c>
      <c r="B211" s="1">
        <v>46239</v>
      </c>
      <c r="C211" t="s">
        <v>55</v>
      </c>
      <c r="D211" t="s">
        <v>56</v>
      </c>
      <c r="E211" t="s">
        <v>43</v>
      </c>
      <c r="F211" t="s">
        <v>27</v>
      </c>
      <c r="G211" t="s">
        <v>33</v>
      </c>
      <c r="H211" t="s">
        <v>172</v>
      </c>
      <c r="I211" t="s">
        <v>30</v>
      </c>
      <c r="J211">
        <v>1</v>
      </c>
      <c r="K211">
        <v>32000</v>
      </c>
      <c r="L211">
        <v>0</v>
      </c>
      <c r="M211">
        <v>32000</v>
      </c>
      <c r="N211">
        <v>19000</v>
      </c>
      <c r="O211" t="s">
        <v>23</v>
      </c>
      <c r="P211" t="s">
        <v>40</v>
      </c>
      <c r="Q211">
        <f t="shared" si="24"/>
        <v>32000</v>
      </c>
      <c r="R211">
        <f t="shared" si="25"/>
        <v>0</v>
      </c>
      <c r="S211">
        <f t="shared" si="26"/>
        <v>19000</v>
      </c>
      <c r="T211">
        <f t="shared" si="27"/>
        <v>13000</v>
      </c>
      <c r="U211">
        <f t="shared" si="28"/>
        <v>13</v>
      </c>
      <c r="V211" t="b">
        <f t="shared" si="29"/>
        <v>0</v>
      </c>
      <c r="W211">
        <f t="shared" si="30"/>
        <v>11</v>
      </c>
      <c r="X211" t="b">
        <f t="shared" si="31"/>
        <v>0</v>
      </c>
    </row>
    <row r="212" spans="1:24" x14ac:dyDescent="0.35">
      <c r="A212">
        <v>100211</v>
      </c>
      <c r="B212" s="1">
        <v>46260</v>
      </c>
      <c r="C212" t="s">
        <v>35</v>
      </c>
      <c r="D212" t="s">
        <v>36</v>
      </c>
      <c r="E212" t="s">
        <v>43</v>
      </c>
      <c r="F212" t="s">
        <v>19</v>
      </c>
      <c r="G212" t="s">
        <v>52</v>
      </c>
      <c r="H212" t="s">
        <v>96</v>
      </c>
      <c r="I212" t="s">
        <v>30</v>
      </c>
      <c r="J212">
        <v>4</v>
      </c>
      <c r="K212">
        <v>42000</v>
      </c>
      <c r="L212">
        <v>0</v>
      </c>
      <c r="M212">
        <v>168000</v>
      </c>
      <c r="N212">
        <v>28000</v>
      </c>
      <c r="O212" t="s">
        <v>23</v>
      </c>
      <c r="P212" t="s">
        <v>54</v>
      </c>
      <c r="Q212">
        <f t="shared" si="24"/>
        <v>168000</v>
      </c>
      <c r="R212">
        <f t="shared" si="25"/>
        <v>0</v>
      </c>
      <c r="S212">
        <f t="shared" si="26"/>
        <v>112000</v>
      </c>
      <c r="T212">
        <f t="shared" si="27"/>
        <v>56000</v>
      </c>
      <c r="U212">
        <f t="shared" si="28"/>
        <v>4</v>
      </c>
      <c r="V212" t="b">
        <f t="shared" si="29"/>
        <v>0</v>
      </c>
      <c r="W212">
        <f t="shared" si="30"/>
        <v>4</v>
      </c>
      <c r="X212" t="b">
        <f t="shared" si="31"/>
        <v>0</v>
      </c>
    </row>
    <row r="213" spans="1:24" x14ac:dyDescent="0.35">
      <c r="A213">
        <v>100212</v>
      </c>
      <c r="B213" s="1">
        <v>46117</v>
      </c>
      <c r="C213" t="s">
        <v>50</v>
      </c>
      <c r="D213" t="s">
        <v>51</v>
      </c>
      <c r="E213" t="s">
        <v>37</v>
      </c>
      <c r="F213" t="s">
        <v>19</v>
      </c>
      <c r="G213" t="s">
        <v>62</v>
      </c>
      <c r="H213" t="s">
        <v>110</v>
      </c>
      <c r="I213" t="s">
        <v>30</v>
      </c>
      <c r="J213">
        <v>2</v>
      </c>
      <c r="K213">
        <v>24000</v>
      </c>
      <c r="L213">
        <v>0.15</v>
      </c>
      <c r="M213">
        <v>40800</v>
      </c>
      <c r="N213">
        <v>15000</v>
      </c>
      <c r="O213" t="s">
        <v>23</v>
      </c>
      <c r="P213" t="s">
        <v>64</v>
      </c>
      <c r="Q213">
        <f t="shared" si="24"/>
        <v>40800</v>
      </c>
      <c r="R213">
        <f t="shared" si="25"/>
        <v>0</v>
      </c>
      <c r="S213">
        <f t="shared" si="26"/>
        <v>30000</v>
      </c>
      <c r="T213">
        <f t="shared" si="27"/>
        <v>10800</v>
      </c>
      <c r="U213">
        <f t="shared" si="28"/>
        <v>6</v>
      </c>
      <c r="V213" t="b">
        <f t="shared" si="29"/>
        <v>0</v>
      </c>
      <c r="W213">
        <f t="shared" si="30"/>
        <v>4</v>
      </c>
      <c r="X213" t="b">
        <f t="shared" si="31"/>
        <v>0</v>
      </c>
    </row>
    <row r="214" spans="1:24" x14ac:dyDescent="0.35">
      <c r="A214">
        <v>100213</v>
      </c>
      <c r="B214" s="1">
        <v>46023</v>
      </c>
      <c r="C214" t="s">
        <v>16</v>
      </c>
      <c r="D214" t="s">
        <v>17</v>
      </c>
      <c r="E214" t="s">
        <v>43</v>
      </c>
      <c r="F214" t="s">
        <v>27</v>
      </c>
      <c r="G214" t="s">
        <v>28</v>
      </c>
      <c r="H214" t="s">
        <v>189</v>
      </c>
      <c r="I214" t="s">
        <v>22</v>
      </c>
      <c r="J214">
        <v>2</v>
      </c>
      <c r="K214">
        <v>165000</v>
      </c>
      <c r="L214">
        <v>0.15</v>
      </c>
      <c r="M214">
        <v>280500</v>
      </c>
      <c r="N214">
        <v>112000</v>
      </c>
      <c r="O214" t="s">
        <v>23</v>
      </c>
      <c r="P214" t="s">
        <v>54</v>
      </c>
      <c r="Q214">
        <f t="shared" si="24"/>
        <v>280500</v>
      </c>
      <c r="R214">
        <f t="shared" si="25"/>
        <v>0</v>
      </c>
      <c r="S214">
        <f t="shared" si="26"/>
        <v>224000</v>
      </c>
      <c r="T214">
        <f t="shared" si="27"/>
        <v>56500</v>
      </c>
      <c r="U214">
        <f t="shared" si="28"/>
        <v>5</v>
      </c>
      <c r="V214" t="b">
        <f t="shared" si="29"/>
        <v>0</v>
      </c>
      <c r="W214">
        <f t="shared" si="30"/>
        <v>11</v>
      </c>
      <c r="X214" t="b">
        <f t="shared" si="31"/>
        <v>0</v>
      </c>
    </row>
    <row r="215" spans="1:24" x14ac:dyDescent="0.35">
      <c r="A215">
        <v>100214</v>
      </c>
      <c r="B215" s="1">
        <v>46086</v>
      </c>
      <c r="C215" t="s">
        <v>25</v>
      </c>
      <c r="D215" t="s">
        <v>26</v>
      </c>
      <c r="E215" t="s">
        <v>43</v>
      </c>
      <c r="F215" t="s">
        <v>44</v>
      </c>
      <c r="G215" t="s">
        <v>45</v>
      </c>
      <c r="H215" t="s">
        <v>183</v>
      </c>
      <c r="I215" t="s">
        <v>22</v>
      </c>
      <c r="J215">
        <v>2</v>
      </c>
      <c r="K215">
        <v>6500</v>
      </c>
      <c r="L215">
        <v>0.05</v>
      </c>
      <c r="M215">
        <v>12350</v>
      </c>
      <c r="N215">
        <v>2200</v>
      </c>
      <c r="O215" t="s">
        <v>23</v>
      </c>
      <c r="P215" t="s">
        <v>40</v>
      </c>
      <c r="Q215">
        <f t="shared" si="24"/>
        <v>12350</v>
      </c>
      <c r="R215">
        <f t="shared" si="25"/>
        <v>0</v>
      </c>
      <c r="S215">
        <f t="shared" si="26"/>
        <v>4400</v>
      </c>
      <c r="T215">
        <f t="shared" si="27"/>
        <v>7950</v>
      </c>
      <c r="U215">
        <f t="shared" si="28"/>
        <v>5</v>
      </c>
      <c r="V215" t="b">
        <f t="shared" si="29"/>
        <v>0</v>
      </c>
      <c r="W215">
        <f t="shared" si="30"/>
        <v>11</v>
      </c>
      <c r="X215" t="b">
        <f t="shared" si="31"/>
        <v>0</v>
      </c>
    </row>
    <row r="216" spans="1:24" x14ac:dyDescent="0.35">
      <c r="A216">
        <v>100215</v>
      </c>
      <c r="B216" s="1">
        <v>46128</v>
      </c>
      <c r="C216" t="s">
        <v>35</v>
      </c>
      <c r="D216" t="s">
        <v>36</v>
      </c>
      <c r="E216" t="s">
        <v>43</v>
      </c>
      <c r="F216" t="s">
        <v>27</v>
      </c>
      <c r="G216" t="s">
        <v>38</v>
      </c>
      <c r="H216" t="s">
        <v>118</v>
      </c>
      <c r="I216" t="s">
        <v>22</v>
      </c>
      <c r="J216">
        <v>3</v>
      </c>
      <c r="K216">
        <v>26000</v>
      </c>
      <c r="L216">
        <v>0</v>
      </c>
      <c r="M216">
        <v>78000</v>
      </c>
      <c r="N216">
        <v>15000</v>
      </c>
      <c r="O216" t="s">
        <v>23</v>
      </c>
      <c r="P216" t="s">
        <v>40</v>
      </c>
      <c r="Q216">
        <f t="shared" si="24"/>
        <v>78000</v>
      </c>
      <c r="R216">
        <f t="shared" si="25"/>
        <v>0</v>
      </c>
      <c r="S216">
        <f t="shared" si="26"/>
        <v>45000</v>
      </c>
      <c r="T216">
        <f t="shared" si="27"/>
        <v>33000</v>
      </c>
      <c r="U216">
        <f t="shared" si="28"/>
        <v>4</v>
      </c>
      <c r="V216" t="b">
        <f t="shared" si="29"/>
        <v>0</v>
      </c>
      <c r="W216">
        <f t="shared" si="30"/>
        <v>11</v>
      </c>
      <c r="X216" t="b">
        <f t="shared" si="31"/>
        <v>0</v>
      </c>
    </row>
    <row r="217" spans="1:24" x14ac:dyDescent="0.35">
      <c r="A217">
        <v>100216</v>
      </c>
      <c r="B217" s="1">
        <v>46161</v>
      </c>
      <c r="C217" t="s">
        <v>25</v>
      </c>
      <c r="D217" t="s">
        <v>26</v>
      </c>
      <c r="E217" t="s">
        <v>37</v>
      </c>
      <c r="F217" t="s">
        <v>44</v>
      </c>
      <c r="G217" t="s">
        <v>45</v>
      </c>
      <c r="H217" t="s">
        <v>157</v>
      </c>
      <c r="I217" t="s">
        <v>22</v>
      </c>
      <c r="J217">
        <v>4</v>
      </c>
      <c r="K217">
        <v>6500</v>
      </c>
      <c r="L217">
        <v>0</v>
      </c>
      <c r="M217">
        <v>26000</v>
      </c>
      <c r="N217">
        <v>2200</v>
      </c>
      <c r="O217" t="s">
        <v>23</v>
      </c>
      <c r="P217" t="s">
        <v>24</v>
      </c>
      <c r="Q217">
        <f t="shared" si="24"/>
        <v>26000</v>
      </c>
      <c r="R217">
        <f t="shared" si="25"/>
        <v>0</v>
      </c>
      <c r="S217">
        <f t="shared" si="26"/>
        <v>8800</v>
      </c>
      <c r="T217">
        <f t="shared" si="27"/>
        <v>17200</v>
      </c>
      <c r="U217">
        <f t="shared" si="28"/>
        <v>5</v>
      </c>
      <c r="V217" t="b">
        <f t="shared" si="29"/>
        <v>0</v>
      </c>
      <c r="W217">
        <f t="shared" si="30"/>
        <v>11</v>
      </c>
      <c r="X217" t="b">
        <f t="shared" si="31"/>
        <v>0</v>
      </c>
    </row>
    <row r="218" spans="1:24" x14ac:dyDescent="0.35">
      <c r="A218">
        <v>100217</v>
      </c>
      <c r="B218" s="1">
        <v>46198</v>
      </c>
      <c r="C218" t="s">
        <v>42</v>
      </c>
      <c r="D218" t="s">
        <v>26</v>
      </c>
      <c r="E218" t="s">
        <v>37</v>
      </c>
      <c r="F218" t="s">
        <v>19</v>
      </c>
      <c r="G218" t="s">
        <v>62</v>
      </c>
      <c r="H218" t="s">
        <v>190</v>
      </c>
      <c r="I218" t="s">
        <v>30</v>
      </c>
      <c r="J218">
        <v>2</v>
      </c>
      <c r="K218">
        <v>24000</v>
      </c>
      <c r="L218">
        <v>0.05</v>
      </c>
      <c r="M218">
        <v>45600</v>
      </c>
      <c r="N218">
        <v>15000</v>
      </c>
      <c r="O218" t="s">
        <v>23</v>
      </c>
      <c r="P218" t="s">
        <v>54</v>
      </c>
      <c r="Q218">
        <f t="shared" si="24"/>
        <v>45600</v>
      </c>
      <c r="R218">
        <f t="shared" si="25"/>
        <v>0</v>
      </c>
      <c r="S218">
        <f t="shared" si="26"/>
        <v>30000</v>
      </c>
      <c r="T218">
        <f t="shared" si="27"/>
        <v>15600</v>
      </c>
      <c r="U218">
        <f t="shared" si="28"/>
        <v>5</v>
      </c>
      <c r="V218" t="b">
        <f t="shared" si="29"/>
        <v>0</v>
      </c>
      <c r="W218">
        <f t="shared" si="30"/>
        <v>4</v>
      </c>
      <c r="X218" t="b">
        <f t="shared" si="31"/>
        <v>0</v>
      </c>
    </row>
    <row r="219" spans="1:24" x14ac:dyDescent="0.35">
      <c r="A219">
        <v>100218</v>
      </c>
      <c r="B219" s="1">
        <v>46120</v>
      </c>
      <c r="C219" t="s">
        <v>42</v>
      </c>
      <c r="D219" t="s">
        <v>26</v>
      </c>
      <c r="E219" t="s">
        <v>18</v>
      </c>
      <c r="F219" t="s">
        <v>19</v>
      </c>
      <c r="G219" t="s">
        <v>20</v>
      </c>
      <c r="H219" t="s">
        <v>149</v>
      </c>
      <c r="I219" t="s">
        <v>22</v>
      </c>
      <c r="J219">
        <v>3</v>
      </c>
      <c r="K219">
        <v>58000</v>
      </c>
      <c r="L219">
        <v>0.05</v>
      </c>
      <c r="M219">
        <v>165300</v>
      </c>
      <c r="N219">
        <v>39000</v>
      </c>
      <c r="O219" t="s">
        <v>23</v>
      </c>
      <c r="P219" t="s">
        <v>54</v>
      </c>
      <c r="Q219">
        <f t="shared" si="24"/>
        <v>165300</v>
      </c>
      <c r="R219">
        <f t="shared" si="25"/>
        <v>0</v>
      </c>
      <c r="S219">
        <f t="shared" si="26"/>
        <v>117000</v>
      </c>
      <c r="T219">
        <f t="shared" si="27"/>
        <v>48300</v>
      </c>
      <c r="U219">
        <f t="shared" si="28"/>
        <v>5</v>
      </c>
      <c r="V219" t="b">
        <f t="shared" si="29"/>
        <v>0</v>
      </c>
      <c r="W219">
        <f t="shared" si="30"/>
        <v>4</v>
      </c>
      <c r="X219" t="b">
        <f t="shared" si="31"/>
        <v>0</v>
      </c>
    </row>
    <row r="220" spans="1:24" x14ac:dyDescent="0.35">
      <c r="A220">
        <v>100219</v>
      </c>
      <c r="B220" s="1">
        <v>46253</v>
      </c>
      <c r="C220" t="s">
        <v>55</v>
      </c>
      <c r="D220" t="s">
        <v>56</v>
      </c>
      <c r="E220" t="s">
        <v>43</v>
      </c>
      <c r="F220" t="s">
        <v>19</v>
      </c>
      <c r="G220" t="s">
        <v>20</v>
      </c>
      <c r="H220" t="s">
        <v>191</v>
      </c>
      <c r="I220" t="s">
        <v>30</v>
      </c>
      <c r="J220">
        <v>5</v>
      </c>
      <c r="K220">
        <v>58000</v>
      </c>
      <c r="L220">
        <v>0.15</v>
      </c>
      <c r="M220">
        <v>246500</v>
      </c>
      <c r="N220">
        <v>39000</v>
      </c>
      <c r="O220" t="s">
        <v>23</v>
      </c>
      <c r="P220" t="s">
        <v>40</v>
      </c>
      <c r="Q220">
        <f t="shared" si="24"/>
        <v>246500</v>
      </c>
      <c r="R220">
        <f t="shared" si="25"/>
        <v>0</v>
      </c>
      <c r="S220">
        <f t="shared" si="26"/>
        <v>195000</v>
      </c>
      <c r="T220">
        <f t="shared" si="27"/>
        <v>51500</v>
      </c>
      <c r="U220">
        <f t="shared" si="28"/>
        <v>13</v>
      </c>
      <c r="V220" t="b">
        <f t="shared" si="29"/>
        <v>0</v>
      </c>
      <c r="W220">
        <f t="shared" si="30"/>
        <v>4</v>
      </c>
      <c r="X220" t="b">
        <f t="shared" si="31"/>
        <v>0</v>
      </c>
    </row>
    <row r="221" spans="1:24" x14ac:dyDescent="0.35">
      <c r="A221">
        <v>100220</v>
      </c>
      <c r="B221" s="1">
        <v>46024</v>
      </c>
      <c r="C221" t="s">
        <v>35</v>
      </c>
      <c r="D221" t="s">
        <v>36</v>
      </c>
      <c r="E221" t="s">
        <v>18</v>
      </c>
      <c r="F221" t="s">
        <v>27</v>
      </c>
      <c r="G221" t="s">
        <v>38</v>
      </c>
      <c r="H221" t="s">
        <v>124</v>
      </c>
      <c r="I221" t="s">
        <v>30</v>
      </c>
      <c r="J221">
        <v>2</v>
      </c>
      <c r="K221">
        <v>26000</v>
      </c>
      <c r="L221">
        <v>0</v>
      </c>
      <c r="M221">
        <v>52000</v>
      </c>
      <c r="N221">
        <v>15000</v>
      </c>
      <c r="O221" t="s">
        <v>23</v>
      </c>
      <c r="P221" t="s">
        <v>24</v>
      </c>
      <c r="Q221">
        <f t="shared" si="24"/>
        <v>52000</v>
      </c>
      <c r="R221">
        <f t="shared" si="25"/>
        <v>0</v>
      </c>
      <c r="S221">
        <f t="shared" si="26"/>
        <v>30000</v>
      </c>
      <c r="T221">
        <f t="shared" si="27"/>
        <v>22000</v>
      </c>
      <c r="U221">
        <f t="shared" si="28"/>
        <v>4</v>
      </c>
      <c r="V221" t="b">
        <f t="shared" si="29"/>
        <v>0</v>
      </c>
      <c r="W221">
        <f t="shared" si="30"/>
        <v>11</v>
      </c>
      <c r="X221" t="b">
        <f t="shared" si="31"/>
        <v>0</v>
      </c>
    </row>
    <row r="222" spans="1:24" x14ac:dyDescent="0.35">
      <c r="A222">
        <v>100221</v>
      </c>
      <c r="B222" s="1">
        <v>46111</v>
      </c>
      <c r="C222" t="s">
        <v>50</v>
      </c>
      <c r="D222" t="s">
        <v>51</v>
      </c>
      <c r="E222" t="s">
        <v>43</v>
      </c>
      <c r="F222" t="s">
        <v>44</v>
      </c>
      <c r="G222" t="s">
        <v>65</v>
      </c>
      <c r="H222" t="s">
        <v>159</v>
      </c>
      <c r="I222" t="s">
        <v>30</v>
      </c>
      <c r="J222">
        <v>3</v>
      </c>
      <c r="K222">
        <v>28000</v>
      </c>
      <c r="L222">
        <v>0.1</v>
      </c>
      <c r="M222">
        <v>75600</v>
      </c>
      <c r="N222">
        <v>16000</v>
      </c>
      <c r="O222" t="s">
        <v>23</v>
      </c>
      <c r="P222" t="s">
        <v>54</v>
      </c>
      <c r="Q222">
        <f t="shared" si="24"/>
        <v>75600</v>
      </c>
      <c r="R222">
        <f t="shared" si="25"/>
        <v>0</v>
      </c>
      <c r="S222">
        <f t="shared" si="26"/>
        <v>48000</v>
      </c>
      <c r="T222">
        <f t="shared" si="27"/>
        <v>27600</v>
      </c>
      <c r="U222">
        <f t="shared" si="28"/>
        <v>6</v>
      </c>
      <c r="V222" t="b">
        <f t="shared" si="29"/>
        <v>0</v>
      </c>
      <c r="W222">
        <f t="shared" si="30"/>
        <v>11</v>
      </c>
      <c r="X222" t="b">
        <f t="shared" si="31"/>
        <v>0</v>
      </c>
    </row>
    <row r="223" spans="1:24" x14ac:dyDescent="0.35">
      <c r="A223">
        <v>100222</v>
      </c>
      <c r="B223" s="1">
        <v>46255</v>
      </c>
      <c r="C223" t="s">
        <v>16</v>
      </c>
      <c r="D223" t="s">
        <v>17</v>
      </c>
      <c r="E223" t="s">
        <v>18</v>
      </c>
      <c r="F223" t="s">
        <v>19</v>
      </c>
      <c r="G223" t="s">
        <v>20</v>
      </c>
      <c r="H223" t="s">
        <v>192</v>
      </c>
      <c r="I223" t="s">
        <v>22</v>
      </c>
      <c r="J223">
        <v>3</v>
      </c>
      <c r="K223">
        <v>58000</v>
      </c>
      <c r="L223">
        <v>0.25</v>
      </c>
      <c r="M223">
        <v>130500</v>
      </c>
      <c r="N223">
        <v>39000</v>
      </c>
      <c r="O223" t="s">
        <v>76</v>
      </c>
      <c r="P223" t="s">
        <v>64</v>
      </c>
      <c r="Q223">
        <f t="shared" si="24"/>
        <v>130500</v>
      </c>
      <c r="R223">
        <f t="shared" si="25"/>
        <v>0</v>
      </c>
      <c r="S223">
        <f t="shared" si="26"/>
        <v>117000</v>
      </c>
      <c r="T223">
        <f t="shared" si="27"/>
        <v>13500</v>
      </c>
      <c r="U223">
        <f t="shared" si="28"/>
        <v>5</v>
      </c>
      <c r="V223" t="b">
        <f t="shared" si="29"/>
        <v>0</v>
      </c>
      <c r="W223">
        <f t="shared" si="30"/>
        <v>4</v>
      </c>
      <c r="X223" t="b">
        <f t="shared" si="31"/>
        <v>0</v>
      </c>
    </row>
    <row r="224" spans="1:24" x14ac:dyDescent="0.35">
      <c r="A224">
        <v>100223</v>
      </c>
      <c r="B224" s="1">
        <v>46165</v>
      </c>
      <c r="C224" t="s">
        <v>55</v>
      </c>
      <c r="D224" t="s">
        <v>56</v>
      </c>
      <c r="E224" t="s">
        <v>18</v>
      </c>
      <c r="F224" t="s">
        <v>19</v>
      </c>
      <c r="G224" t="s">
        <v>52</v>
      </c>
      <c r="H224" t="s">
        <v>193</v>
      </c>
      <c r="I224" t="s">
        <v>30</v>
      </c>
      <c r="J224">
        <v>3</v>
      </c>
      <c r="K224">
        <v>42000</v>
      </c>
      <c r="L224">
        <v>0.15</v>
      </c>
      <c r="M224">
        <v>107100</v>
      </c>
      <c r="N224">
        <v>28000</v>
      </c>
      <c r="O224" t="s">
        <v>23</v>
      </c>
      <c r="P224" t="s">
        <v>58</v>
      </c>
      <c r="Q224">
        <f t="shared" si="24"/>
        <v>107100</v>
      </c>
      <c r="R224">
        <f t="shared" si="25"/>
        <v>0</v>
      </c>
      <c r="S224">
        <f t="shared" si="26"/>
        <v>84000</v>
      </c>
      <c r="T224">
        <f t="shared" si="27"/>
        <v>23100</v>
      </c>
      <c r="U224">
        <f t="shared" si="28"/>
        <v>13</v>
      </c>
      <c r="V224" t="b">
        <f t="shared" si="29"/>
        <v>0</v>
      </c>
      <c r="W224">
        <f t="shared" si="30"/>
        <v>4</v>
      </c>
      <c r="X224" t="b">
        <f t="shared" si="31"/>
        <v>0</v>
      </c>
    </row>
    <row r="225" spans="1:24" x14ac:dyDescent="0.35">
      <c r="A225">
        <v>100224</v>
      </c>
      <c r="B225" s="1">
        <v>46149</v>
      </c>
      <c r="C225" t="s">
        <v>42</v>
      </c>
      <c r="D225" t="s">
        <v>26</v>
      </c>
      <c r="E225" t="s">
        <v>37</v>
      </c>
      <c r="F225" t="s">
        <v>27</v>
      </c>
      <c r="G225" t="s">
        <v>33</v>
      </c>
      <c r="H225" t="s">
        <v>175</v>
      </c>
      <c r="I225" t="s">
        <v>30</v>
      </c>
      <c r="J225">
        <v>1</v>
      </c>
      <c r="K225">
        <v>32000</v>
      </c>
      <c r="L225">
        <v>0.1</v>
      </c>
      <c r="M225">
        <v>28800</v>
      </c>
      <c r="N225">
        <v>19000</v>
      </c>
      <c r="O225" t="s">
        <v>23</v>
      </c>
      <c r="P225" t="s">
        <v>40</v>
      </c>
      <c r="Q225">
        <f t="shared" si="24"/>
        <v>28800</v>
      </c>
      <c r="R225">
        <f t="shared" si="25"/>
        <v>0</v>
      </c>
      <c r="S225">
        <f t="shared" si="26"/>
        <v>19000</v>
      </c>
      <c r="T225">
        <f t="shared" si="27"/>
        <v>9800</v>
      </c>
      <c r="U225">
        <f t="shared" si="28"/>
        <v>5</v>
      </c>
      <c r="V225" t="b">
        <f t="shared" si="29"/>
        <v>0</v>
      </c>
      <c r="W225">
        <f t="shared" si="30"/>
        <v>11</v>
      </c>
      <c r="X225" t="b">
        <f t="shared" si="31"/>
        <v>0</v>
      </c>
    </row>
    <row r="226" spans="1:24" x14ac:dyDescent="0.35">
      <c r="A226">
        <v>100225</v>
      </c>
      <c r="B226" s="1">
        <v>46079</v>
      </c>
      <c r="C226" t="s">
        <v>35</v>
      </c>
      <c r="D226" t="s">
        <v>36</v>
      </c>
      <c r="E226" t="s">
        <v>37</v>
      </c>
      <c r="F226" t="s">
        <v>19</v>
      </c>
      <c r="G226" t="s">
        <v>62</v>
      </c>
      <c r="H226" t="s">
        <v>194</v>
      </c>
      <c r="I226" t="s">
        <v>22</v>
      </c>
      <c r="J226">
        <v>1</v>
      </c>
      <c r="K226">
        <v>24000</v>
      </c>
      <c r="L226">
        <v>0.05</v>
      </c>
      <c r="M226">
        <v>22800</v>
      </c>
      <c r="N226">
        <v>15000</v>
      </c>
      <c r="O226" t="s">
        <v>23</v>
      </c>
      <c r="P226" t="s">
        <v>31</v>
      </c>
      <c r="Q226">
        <f t="shared" si="24"/>
        <v>22800</v>
      </c>
      <c r="R226">
        <f t="shared" si="25"/>
        <v>0</v>
      </c>
      <c r="S226">
        <f t="shared" si="26"/>
        <v>15000</v>
      </c>
      <c r="T226">
        <f t="shared" si="27"/>
        <v>7800</v>
      </c>
      <c r="U226">
        <f t="shared" si="28"/>
        <v>4</v>
      </c>
      <c r="V226" t="b">
        <f t="shared" si="29"/>
        <v>0</v>
      </c>
      <c r="W226">
        <f t="shared" si="30"/>
        <v>4</v>
      </c>
      <c r="X226" t="b">
        <f t="shared" si="31"/>
        <v>0</v>
      </c>
    </row>
    <row r="227" spans="1:24" x14ac:dyDescent="0.35">
      <c r="A227">
        <v>100226</v>
      </c>
      <c r="B227" s="1">
        <v>46054</v>
      </c>
      <c r="C227" t="s">
        <v>50</v>
      </c>
      <c r="D227" t="s">
        <v>51</v>
      </c>
      <c r="E227" t="s">
        <v>43</v>
      </c>
      <c r="F227" t="s">
        <v>19</v>
      </c>
      <c r="G227" t="s">
        <v>62</v>
      </c>
      <c r="H227" t="s">
        <v>117</v>
      </c>
      <c r="I227" t="s">
        <v>30</v>
      </c>
      <c r="J227">
        <v>1</v>
      </c>
      <c r="K227">
        <v>24000</v>
      </c>
      <c r="L227">
        <v>0.05</v>
      </c>
      <c r="M227">
        <v>22800</v>
      </c>
      <c r="N227">
        <v>15000</v>
      </c>
      <c r="O227" t="s">
        <v>23</v>
      </c>
      <c r="P227" t="s">
        <v>54</v>
      </c>
      <c r="Q227">
        <f t="shared" si="24"/>
        <v>22800</v>
      </c>
      <c r="R227">
        <f t="shared" si="25"/>
        <v>0</v>
      </c>
      <c r="S227">
        <f t="shared" si="26"/>
        <v>15000</v>
      </c>
      <c r="T227">
        <f t="shared" si="27"/>
        <v>7800</v>
      </c>
      <c r="U227">
        <f t="shared" si="28"/>
        <v>6</v>
      </c>
      <c r="V227" t="b">
        <f t="shared" si="29"/>
        <v>0</v>
      </c>
      <c r="W227">
        <f t="shared" si="30"/>
        <v>4</v>
      </c>
      <c r="X227" t="b">
        <f t="shared" si="31"/>
        <v>0</v>
      </c>
    </row>
    <row r="228" spans="1:24" x14ac:dyDescent="0.35">
      <c r="A228">
        <v>100227</v>
      </c>
      <c r="B228" s="1">
        <v>46114</v>
      </c>
      <c r="C228" t="s">
        <v>55</v>
      </c>
      <c r="D228" t="s">
        <v>56</v>
      </c>
      <c r="E228" t="s">
        <v>43</v>
      </c>
      <c r="F228" t="s">
        <v>19</v>
      </c>
      <c r="G228" t="s">
        <v>20</v>
      </c>
      <c r="H228" t="s">
        <v>195</v>
      </c>
      <c r="I228" t="s">
        <v>30</v>
      </c>
      <c r="J228">
        <v>2</v>
      </c>
      <c r="K228">
        <v>58000</v>
      </c>
      <c r="L228">
        <v>0</v>
      </c>
      <c r="M228">
        <v>116000</v>
      </c>
      <c r="N228">
        <v>39000</v>
      </c>
      <c r="O228" t="s">
        <v>23</v>
      </c>
      <c r="P228" t="s">
        <v>84</v>
      </c>
      <c r="Q228">
        <f t="shared" si="24"/>
        <v>116000</v>
      </c>
      <c r="R228">
        <f t="shared" si="25"/>
        <v>0</v>
      </c>
      <c r="S228">
        <f t="shared" si="26"/>
        <v>78000</v>
      </c>
      <c r="T228">
        <f t="shared" si="27"/>
        <v>38000</v>
      </c>
      <c r="U228">
        <f t="shared" si="28"/>
        <v>13</v>
      </c>
      <c r="V228" t="b">
        <f t="shared" si="29"/>
        <v>0</v>
      </c>
      <c r="W228">
        <f t="shared" si="30"/>
        <v>4</v>
      </c>
      <c r="X228" t="b">
        <f t="shared" si="31"/>
        <v>0</v>
      </c>
    </row>
    <row r="229" spans="1:24" x14ac:dyDescent="0.35">
      <c r="A229">
        <v>100228</v>
      </c>
      <c r="B229" s="1">
        <v>46099</v>
      </c>
      <c r="C229" t="s">
        <v>25</v>
      </c>
      <c r="D229" t="s">
        <v>26</v>
      </c>
      <c r="E229" t="s">
        <v>43</v>
      </c>
      <c r="F229" t="s">
        <v>27</v>
      </c>
      <c r="G229" t="s">
        <v>33</v>
      </c>
      <c r="H229" t="s">
        <v>59</v>
      </c>
      <c r="I229" t="s">
        <v>22</v>
      </c>
      <c r="J229">
        <v>3</v>
      </c>
      <c r="K229">
        <v>32000</v>
      </c>
      <c r="L229">
        <v>0.15</v>
      </c>
      <c r="M229">
        <v>81600</v>
      </c>
      <c r="N229">
        <v>19000</v>
      </c>
      <c r="O229" t="s">
        <v>23</v>
      </c>
      <c r="P229" t="s">
        <v>24</v>
      </c>
      <c r="Q229">
        <f t="shared" si="24"/>
        <v>81600</v>
      </c>
      <c r="R229">
        <f t="shared" si="25"/>
        <v>0</v>
      </c>
      <c r="S229">
        <f t="shared" si="26"/>
        <v>57000</v>
      </c>
      <c r="T229">
        <f t="shared" si="27"/>
        <v>24600</v>
      </c>
      <c r="U229">
        <f t="shared" si="28"/>
        <v>5</v>
      </c>
      <c r="V229" t="b">
        <f t="shared" si="29"/>
        <v>0</v>
      </c>
      <c r="W229">
        <f t="shared" si="30"/>
        <v>11</v>
      </c>
      <c r="X229" t="b">
        <f t="shared" si="31"/>
        <v>0</v>
      </c>
    </row>
    <row r="230" spans="1:24" x14ac:dyDescent="0.35">
      <c r="A230">
        <v>100229</v>
      </c>
      <c r="B230" s="1">
        <v>46212</v>
      </c>
      <c r="C230" t="s">
        <v>35</v>
      </c>
      <c r="D230" t="s">
        <v>36</v>
      </c>
      <c r="E230" t="s">
        <v>37</v>
      </c>
      <c r="F230" t="s">
        <v>19</v>
      </c>
      <c r="G230" t="s">
        <v>20</v>
      </c>
      <c r="H230" t="s">
        <v>194</v>
      </c>
      <c r="I230" t="s">
        <v>30</v>
      </c>
      <c r="J230">
        <v>1</v>
      </c>
      <c r="K230">
        <v>58000</v>
      </c>
      <c r="L230">
        <v>0.1</v>
      </c>
      <c r="M230">
        <v>52200</v>
      </c>
      <c r="N230">
        <v>39000</v>
      </c>
      <c r="O230" t="s">
        <v>23</v>
      </c>
      <c r="P230" t="s">
        <v>24</v>
      </c>
      <c r="Q230">
        <f t="shared" si="24"/>
        <v>52200</v>
      </c>
      <c r="R230">
        <f t="shared" si="25"/>
        <v>0</v>
      </c>
      <c r="S230">
        <f t="shared" si="26"/>
        <v>39000</v>
      </c>
      <c r="T230">
        <f t="shared" si="27"/>
        <v>13200</v>
      </c>
      <c r="U230">
        <f t="shared" si="28"/>
        <v>4</v>
      </c>
      <c r="V230" t="b">
        <f t="shared" si="29"/>
        <v>0</v>
      </c>
      <c r="W230">
        <f t="shared" si="30"/>
        <v>4</v>
      </c>
      <c r="X230" t="b">
        <f t="shared" si="31"/>
        <v>0</v>
      </c>
    </row>
    <row r="231" spans="1:24" x14ac:dyDescent="0.35">
      <c r="A231">
        <v>100230</v>
      </c>
      <c r="B231" s="1">
        <v>46141</v>
      </c>
      <c r="C231" t="s">
        <v>35</v>
      </c>
      <c r="D231" t="s">
        <v>36</v>
      </c>
      <c r="E231" t="s">
        <v>43</v>
      </c>
      <c r="F231" t="s">
        <v>27</v>
      </c>
      <c r="G231" t="s">
        <v>38</v>
      </c>
      <c r="H231" t="s">
        <v>109</v>
      </c>
      <c r="I231" t="s">
        <v>30</v>
      </c>
      <c r="J231">
        <v>3</v>
      </c>
      <c r="K231">
        <v>26000</v>
      </c>
      <c r="L231">
        <v>0.15</v>
      </c>
      <c r="M231">
        <v>66300</v>
      </c>
      <c r="N231">
        <v>15000</v>
      </c>
      <c r="O231" t="s">
        <v>23</v>
      </c>
      <c r="P231" t="s">
        <v>84</v>
      </c>
      <c r="Q231">
        <f t="shared" si="24"/>
        <v>66300</v>
      </c>
      <c r="R231">
        <f t="shared" si="25"/>
        <v>0</v>
      </c>
      <c r="S231">
        <f t="shared" si="26"/>
        <v>45000</v>
      </c>
      <c r="T231">
        <f t="shared" si="27"/>
        <v>21300</v>
      </c>
      <c r="U231">
        <f t="shared" si="28"/>
        <v>4</v>
      </c>
      <c r="V231" t="b">
        <f t="shared" si="29"/>
        <v>0</v>
      </c>
      <c r="W231">
        <f t="shared" si="30"/>
        <v>11</v>
      </c>
      <c r="X231" t="b">
        <f t="shared" si="31"/>
        <v>0</v>
      </c>
    </row>
    <row r="232" spans="1:24" x14ac:dyDescent="0.35">
      <c r="A232">
        <v>100231</v>
      </c>
      <c r="B232" s="1">
        <v>46109</v>
      </c>
      <c r="C232" t="s">
        <v>32</v>
      </c>
      <c r="D232" t="s">
        <v>17</v>
      </c>
      <c r="E232" t="s">
        <v>18</v>
      </c>
      <c r="F232" t="s">
        <v>27</v>
      </c>
      <c r="G232" t="s">
        <v>28</v>
      </c>
      <c r="H232" t="s">
        <v>196</v>
      </c>
      <c r="I232" t="s">
        <v>30</v>
      </c>
      <c r="J232">
        <v>1</v>
      </c>
      <c r="K232">
        <v>165000</v>
      </c>
      <c r="L232">
        <v>0.2</v>
      </c>
      <c r="M232">
        <v>132000</v>
      </c>
      <c r="N232">
        <v>112000</v>
      </c>
      <c r="O232" t="s">
        <v>23</v>
      </c>
      <c r="P232" t="s">
        <v>40</v>
      </c>
      <c r="Q232">
        <f t="shared" si="24"/>
        <v>132000</v>
      </c>
      <c r="R232">
        <f t="shared" si="25"/>
        <v>0</v>
      </c>
      <c r="S232">
        <f t="shared" si="26"/>
        <v>112000</v>
      </c>
      <c r="T232">
        <f t="shared" si="27"/>
        <v>20000</v>
      </c>
      <c r="U232">
        <f t="shared" si="28"/>
        <v>5</v>
      </c>
      <c r="V232" t="b">
        <f t="shared" si="29"/>
        <v>0</v>
      </c>
      <c r="W232">
        <f t="shared" si="30"/>
        <v>11</v>
      </c>
      <c r="X232" t="b">
        <f t="shared" si="31"/>
        <v>0</v>
      </c>
    </row>
    <row r="233" spans="1:24" x14ac:dyDescent="0.35">
      <c r="A233">
        <v>100232</v>
      </c>
      <c r="B233" s="1">
        <v>46237</v>
      </c>
      <c r="C233" t="s">
        <v>25</v>
      </c>
      <c r="D233" t="s">
        <v>26</v>
      </c>
      <c r="E233" t="s">
        <v>43</v>
      </c>
      <c r="F233" t="s">
        <v>27</v>
      </c>
      <c r="G233" t="s">
        <v>28</v>
      </c>
      <c r="H233" t="s">
        <v>59</v>
      </c>
      <c r="I233" t="s">
        <v>22</v>
      </c>
      <c r="J233">
        <v>1</v>
      </c>
      <c r="K233">
        <v>165000</v>
      </c>
      <c r="L233">
        <v>0.1</v>
      </c>
      <c r="M233">
        <v>148500</v>
      </c>
      <c r="N233">
        <v>112000</v>
      </c>
      <c r="O233" t="s">
        <v>76</v>
      </c>
      <c r="P233" t="s">
        <v>58</v>
      </c>
      <c r="Q233">
        <f t="shared" si="24"/>
        <v>148500</v>
      </c>
      <c r="R233">
        <f t="shared" si="25"/>
        <v>0</v>
      </c>
      <c r="S233">
        <f t="shared" si="26"/>
        <v>112000</v>
      </c>
      <c r="T233">
        <f t="shared" si="27"/>
        <v>36500</v>
      </c>
      <c r="U233">
        <f t="shared" si="28"/>
        <v>5</v>
      </c>
      <c r="V233" t="b">
        <f t="shared" si="29"/>
        <v>0</v>
      </c>
      <c r="W233">
        <f t="shared" si="30"/>
        <v>11</v>
      </c>
      <c r="X233" t="b">
        <f t="shared" si="31"/>
        <v>0</v>
      </c>
    </row>
    <row r="234" spans="1:24" x14ac:dyDescent="0.35">
      <c r="A234">
        <v>100233</v>
      </c>
      <c r="B234" s="1">
        <v>46030</v>
      </c>
      <c r="C234" t="s">
        <v>50</v>
      </c>
      <c r="D234" t="s">
        <v>51</v>
      </c>
      <c r="E234" t="s">
        <v>43</v>
      </c>
      <c r="F234" t="s">
        <v>44</v>
      </c>
      <c r="G234" t="s">
        <v>60</v>
      </c>
      <c r="H234" t="s">
        <v>130</v>
      </c>
      <c r="I234" t="s">
        <v>30</v>
      </c>
      <c r="J234">
        <v>3</v>
      </c>
      <c r="K234">
        <v>9000</v>
      </c>
      <c r="L234">
        <v>0.15</v>
      </c>
      <c r="M234">
        <v>27540</v>
      </c>
      <c r="N234">
        <v>3500</v>
      </c>
      <c r="O234" t="s">
        <v>23</v>
      </c>
      <c r="P234" t="s">
        <v>58</v>
      </c>
      <c r="Q234">
        <f t="shared" si="24"/>
        <v>22950</v>
      </c>
      <c r="R234">
        <f t="shared" si="25"/>
        <v>4590</v>
      </c>
      <c r="S234">
        <f t="shared" si="26"/>
        <v>10500</v>
      </c>
      <c r="T234">
        <f t="shared" si="27"/>
        <v>12450</v>
      </c>
      <c r="U234">
        <f t="shared" si="28"/>
        <v>6</v>
      </c>
      <c r="V234" t="b">
        <f t="shared" si="29"/>
        <v>0</v>
      </c>
      <c r="W234">
        <f t="shared" si="30"/>
        <v>11</v>
      </c>
      <c r="X234" t="b">
        <f t="shared" si="31"/>
        <v>0</v>
      </c>
    </row>
    <row r="235" spans="1:24" x14ac:dyDescent="0.35">
      <c r="A235">
        <v>100234</v>
      </c>
      <c r="B235" s="1">
        <v>46043</v>
      </c>
      <c r="C235" t="s">
        <v>35</v>
      </c>
      <c r="D235" t="s">
        <v>36</v>
      </c>
      <c r="E235" t="s">
        <v>37</v>
      </c>
      <c r="F235" t="s">
        <v>44</v>
      </c>
      <c r="G235" t="s">
        <v>60</v>
      </c>
      <c r="H235" t="s">
        <v>148</v>
      </c>
      <c r="I235" t="s">
        <v>22</v>
      </c>
      <c r="J235">
        <v>2</v>
      </c>
      <c r="K235">
        <v>9000</v>
      </c>
      <c r="L235">
        <v>0.1</v>
      </c>
      <c r="M235">
        <v>16200</v>
      </c>
      <c r="N235">
        <v>3500</v>
      </c>
      <c r="O235" t="s">
        <v>23</v>
      </c>
      <c r="P235" t="s">
        <v>47</v>
      </c>
      <c r="Q235">
        <f t="shared" si="24"/>
        <v>16200</v>
      </c>
      <c r="R235">
        <f t="shared" si="25"/>
        <v>0</v>
      </c>
      <c r="S235">
        <f t="shared" si="26"/>
        <v>7000</v>
      </c>
      <c r="T235">
        <f t="shared" si="27"/>
        <v>9200</v>
      </c>
      <c r="U235">
        <f t="shared" si="28"/>
        <v>4</v>
      </c>
      <c r="V235" t="b">
        <f t="shared" si="29"/>
        <v>0</v>
      </c>
      <c r="W235">
        <f t="shared" si="30"/>
        <v>11</v>
      </c>
      <c r="X235" t="b">
        <f t="shared" si="31"/>
        <v>0</v>
      </c>
    </row>
    <row r="236" spans="1:24" x14ac:dyDescent="0.35">
      <c r="A236">
        <v>100235</v>
      </c>
      <c r="B236" s="1">
        <v>46164</v>
      </c>
      <c r="C236" t="s">
        <v>50</v>
      </c>
      <c r="D236" t="s">
        <v>51</v>
      </c>
      <c r="E236" t="s">
        <v>18</v>
      </c>
      <c r="F236" t="s">
        <v>19</v>
      </c>
      <c r="G236" t="s">
        <v>62</v>
      </c>
      <c r="H236" t="s">
        <v>197</v>
      </c>
      <c r="I236" t="s">
        <v>22</v>
      </c>
      <c r="J236">
        <v>2</v>
      </c>
      <c r="K236">
        <v>24000</v>
      </c>
      <c r="L236">
        <v>0.1</v>
      </c>
      <c r="M236">
        <v>38880</v>
      </c>
      <c r="N236">
        <v>15000</v>
      </c>
      <c r="O236" t="s">
        <v>23</v>
      </c>
      <c r="P236" t="s">
        <v>84</v>
      </c>
      <c r="Q236">
        <f t="shared" si="24"/>
        <v>43200</v>
      </c>
      <c r="R236">
        <f t="shared" si="25"/>
        <v>-4320</v>
      </c>
      <c r="S236">
        <f t="shared" si="26"/>
        <v>30000</v>
      </c>
      <c r="T236">
        <f t="shared" si="27"/>
        <v>13200</v>
      </c>
      <c r="U236">
        <f t="shared" si="28"/>
        <v>6</v>
      </c>
      <c r="V236" t="b">
        <f t="shared" si="29"/>
        <v>0</v>
      </c>
      <c r="W236">
        <f t="shared" si="30"/>
        <v>4</v>
      </c>
      <c r="X236" t="b">
        <f t="shared" si="31"/>
        <v>0</v>
      </c>
    </row>
    <row r="237" spans="1:24" x14ac:dyDescent="0.35">
      <c r="A237">
        <v>100236</v>
      </c>
      <c r="B237" s="1">
        <v>46091</v>
      </c>
      <c r="C237" t="s">
        <v>35</v>
      </c>
      <c r="D237" t="s">
        <v>36</v>
      </c>
      <c r="E237" t="s">
        <v>43</v>
      </c>
      <c r="F237" t="s">
        <v>44</v>
      </c>
      <c r="G237" t="s">
        <v>45</v>
      </c>
      <c r="H237" t="s">
        <v>145</v>
      </c>
      <c r="I237" t="s">
        <v>30</v>
      </c>
      <c r="J237">
        <v>3</v>
      </c>
      <c r="K237">
        <v>6500</v>
      </c>
      <c r="L237">
        <v>0.1</v>
      </c>
      <c r="M237">
        <v>17550</v>
      </c>
      <c r="N237">
        <v>2200</v>
      </c>
      <c r="O237" t="s">
        <v>23</v>
      </c>
      <c r="P237" t="s">
        <v>40</v>
      </c>
      <c r="Q237">
        <f t="shared" si="24"/>
        <v>17550</v>
      </c>
      <c r="R237">
        <f t="shared" si="25"/>
        <v>0</v>
      </c>
      <c r="S237">
        <f t="shared" si="26"/>
        <v>6600</v>
      </c>
      <c r="T237">
        <f t="shared" si="27"/>
        <v>10950</v>
      </c>
      <c r="U237">
        <f t="shared" si="28"/>
        <v>4</v>
      </c>
      <c r="V237" t="b">
        <f t="shared" si="29"/>
        <v>0</v>
      </c>
      <c r="W237">
        <f t="shared" si="30"/>
        <v>11</v>
      </c>
      <c r="X237" t="b">
        <f t="shared" si="31"/>
        <v>0</v>
      </c>
    </row>
    <row r="238" spans="1:24" x14ac:dyDescent="0.35">
      <c r="A238">
        <v>100237</v>
      </c>
      <c r="B238" s="1">
        <v>46186</v>
      </c>
      <c r="C238" t="s">
        <v>25</v>
      </c>
      <c r="D238" t="s">
        <v>26</v>
      </c>
      <c r="E238" t="s">
        <v>43</v>
      </c>
      <c r="F238" t="s">
        <v>27</v>
      </c>
      <c r="G238" t="s">
        <v>38</v>
      </c>
      <c r="H238" t="s">
        <v>198</v>
      </c>
      <c r="I238" t="s">
        <v>22</v>
      </c>
      <c r="J238">
        <v>4</v>
      </c>
      <c r="K238">
        <v>26000</v>
      </c>
      <c r="L238">
        <v>0.1</v>
      </c>
      <c r="M238">
        <v>93600</v>
      </c>
      <c r="N238">
        <v>15000</v>
      </c>
      <c r="O238" t="s">
        <v>23</v>
      </c>
      <c r="P238" t="s">
        <v>64</v>
      </c>
      <c r="Q238">
        <f t="shared" si="24"/>
        <v>93600</v>
      </c>
      <c r="R238">
        <f t="shared" si="25"/>
        <v>0</v>
      </c>
      <c r="S238">
        <f t="shared" si="26"/>
        <v>60000</v>
      </c>
      <c r="T238">
        <f t="shared" si="27"/>
        <v>33600</v>
      </c>
      <c r="U238">
        <f t="shared" si="28"/>
        <v>5</v>
      </c>
      <c r="V238" t="b">
        <f t="shared" si="29"/>
        <v>0</v>
      </c>
      <c r="W238">
        <f t="shared" si="30"/>
        <v>11</v>
      </c>
      <c r="X238" t="b">
        <f t="shared" si="31"/>
        <v>0</v>
      </c>
    </row>
    <row r="239" spans="1:24" x14ac:dyDescent="0.35">
      <c r="A239">
        <v>100238</v>
      </c>
      <c r="B239" s="1">
        <v>46033</v>
      </c>
      <c r="C239" t="s">
        <v>55</v>
      </c>
      <c r="D239" t="s">
        <v>56</v>
      </c>
      <c r="E239" t="s">
        <v>37</v>
      </c>
      <c r="F239" t="s">
        <v>19</v>
      </c>
      <c r="G239" t="s">
        <v>62</v>
      </c>
      <c r="H239" t="s">
        <v>199</v>
      </c>
      <c r="I239" t="s">
        <v>22</v>
      </c>
      <c r="J239">
        <v>2</v>
      </c>
      <c r="K239">
        <v>24000</v>
      </c>
      <c r="L239">
        <v>0</v>
      </c>
      <c r="M239">
        <v>48000</v>
      </c>
      <c r="N239">
        <v>15000</v>
      </c>
      <c r="O239" t="s">
        <v>23</v>
      </c>
      <c r="P239" t="s">
        <v>47</v>
      </c>
      <c r="Q239">
        <f t="shared" si="24"/>
        <v>48000</v>
      </c>
      <c r="R239">
        <f t="shared" si="25"/>
        <v>0</v>
      </c>
      <c r="S239">
        <f t="shared" si="26"/>
        <v>30000</v>
      </c>
      <c r="T239">
        <f t="shared" si="27"/>
        <v>18000</v>
      </c>
      <c r="U239">
        <f t="shared" si="28"/>
        <v>13</v>
      </c>
      <c r="V239" t="b">
        <f t="shared" si="29"/>
        <v>0</v>
      </c>
      <c r="W239">
        <f t="shared" si="30"/>
        <v>4</v>
      </c>
      <c r="X239" t="b">
        <f t="shared" si="31"/>
        <v>0</v>
      </c>
    </row>
    <row r="240" spans="1:24" x14ac:dyDescent="0.35">
      <c r="A240">
        <v>100239</v>
      </c>
      <c r="B240" s="1">
        <v>46187</v>
      </c>
      <c r="C240" t="s">
        <v>55</v>
      </c>
      <c r="D240" t="s">
        <v>56</v>
      </c>
      <c r="E240" t="s">
        <v>18</v>
      </c>
      <c r="F240" t="s">
        <v>27</v>
      </c>
      <c r="G240" t="s">
        <v>28</v>
      </c>
      <c r="H240" t="s">
        <v>200</v>
      </c>
      <c r="I240" t="s">
        <v>30</v>
      </c>
      <c r="J240">
        <v>1</v>
      </c>
      <c r="K240">
        <v>165000</v>
      </c>
      <c r="L240">
        <v>0.15</v>
      </c>
      <c r="M240">
        <v>140250</v>
      </c>
      <c r="N240">
        <v>112000</v>
      </c>
      <c r="O240" t="s">
        <v>23</v>
      </c>
      <c r="P240" t="s">
        <v>24</v>
      </c>
      <c r="Q240">
        <f t="shared" si="24"/>
        <v>140250</v>
      </c>
      <c r="R240">
        <f t="shared" si="25"/>
        <v>0</v>
      </c>
      <c r="S240">
        <f t="shared" si="26"/>
        <v>112000</v>
      </c>
      <c r="T240">
        <f t="shared" si="27"/>
        <v>28250</v>
      </c>
      <c r="U240">
        <f t="shared" si="28"/>
        <v>13</v>
      </c>
      <c r="V240" t="b">
        <f t="shared" si="29"/>
        <v>0</v>
      </c>
      <c r="W240">
        <f t="shared" si="30"/>
        <v>11</v>
      </c>
      <c r="X240" t="b">
        <f t="shared" si="31"/>
        <v>0</v>
      </c>
    </row>
    <row r="241" spans="1:24" x14ac:dyDescent="0.35">
      <c r="A241">
        <v>100240</v>
      </c>
      <c r="B241" s="1">
        <v>46038</v>
      </c>
      <c r="C241" t="s">
        <v>25</v>
      </c>
      <c r="D241" t="s">
        <v>26</v>
      </c>
      <c r="E241" t="s">
        <v>37</v>
      </c>
      <c r="F241" t="s">
        <v>27</v>
      </c>
      <c r="G241" t="s">
        <v>38</v>
      </c>
      <c r="H241" t="s">
        <v>80</v>
      </c>
      <c r="I241" t="s">
        <v>22</v>
      </c>
      <c r="J241">
        <v>3</v>
      </c>
      <c r="K241">
        <v>26000</v>
      </c>
      <c r="L241">
        <v>0.15</v>
      </c>
      <c r="M241">
        <v>66300</v>
      </c>
      <c r="N241">
        <v>15000</v>
      </c>
      <c r="O241" t="s">
        <v>23</v>
      </c>
      <c r="P241" t="s">
        <v>24</v>
      </c>
      <c r="Q241">
        <f t="shared" si="24"/>
        <v>66300</v>
      </c>
      <c r="R241">
        <f t="shared" si="25"/>
        <v>0</v>
      </c>
      <c r="S241">
        <f t="shared" si="26"/>
        <v>45000</v>
      </c>
      <c r="T241">
        <f t="shared" si="27"/>
        <v>21300</v>
      </c>
      <c r="U241">
        <f t="shared" si="28"/>
        <v>5</v>
      </c>
      <c r="V241" t="b">
        <f t="shared" si="29"/>
        <v>0</v>
      </c>
      <c r="W241">
        <f t="shared" si="30"/>
        <v>11</v>
      </c>
      <c r="X241" t="b">
        <f t="shared" si="31"/>
        <v>0</v>
      </c>
    </row>
    <row r="242" spans="1:24" x14ac:dyDescent="0.35">
      <c r="A242">
        <v>100241</v>
      </c>
      <c r="B242" s="1">
        <v>46084</v>
      </c>
      <c r="C242" t="s">
        <v>42</v>
      </c>
      <c r="D242" t="s">
        <v>26</v>
      </c>
      <c r="E242" t="s">
        <v>37</v>
      </c>
      <c r="F242" t="s">
        <v>44</v>
      </c>
      <c r="G242" t="s">
        <v>45</v>
      </c>
      <c r="H242" t="s">
        <v>176</v>
      </c>
      <c r="I242" t="s">
        <v>30</v>
      </c>
      <c r="J242">
        <v>4</v>
      </c>
      <c r="K242">
        <v>6500</v>
      </c>
      <c r="L242">
        <v>0.1</v>
      </c>
      <c r="M242">
        <v>23400</v>
      </c>
      <c r="N242">
        <v>2200</v>
      </c>
      <c r="O242" t="s">
        <v>23</v>
      </c>
      <c r="P242" t="s">
        <v>40</v>
      </c>
      <c r="Q242">
        <f t="shared" si="24"/>
        <v>23400</v>
      </c>
      <c r="R242">
        <f t="shared" si="25"/>
        <v>0</v>
      </c>
      <c r="S242">
        <f t="shared" si="26"/>
        <v>8800</v>
      </c>
      <c r="T242">
        <f t="shared" si="27"/>
        <v>14600</v>
      </c>
      <c r="U242">
        <f t="shared" si="28"/>
        <v>5</v>
      </c>
      <c r="V242" t="b">
        <f t="shared" si="29"/>
        <v>0</v>
      </c>
      <c r="W242">
        <f t="shared" si="30"/>
        <v>11</v>
      </c>
      <c r="X242" t="b">
        <f t="shared" si="31"/>
        <v>0</v>
      </c>
    </row>
    <row r="243" spans="1:24" x14ac:dyDescent="0.35">
      <c r="A243">
        <v>100242</v>
      </c>
      <c r="B243" s="1">
        <v>46090</v>
      </c>
      <c r="C243" t="s">
        <v>35</v>
      </c>
      <c r="D243" t="s">
        <v>36</v>
      </c>
      <c r="E243" t="s">
        <v>43</v>
      </c>
      <c r="F243" t="s">
        <v>19</v>
      </c>
      <c r="G243" t="s">
        <v>62</v>
      </c>
      <c r="H243" t="s">
        <v>201</v>
      </c>
      <c r="I243" t="s">
        <v>22</v>
      </c>
      <c r="J243">
        <v>2</v>
      </c>
      <c r="K243">
        <v>24000</v>
      </c>
      <c r="L243">
        <v>0.1</v>
      </c>
      <c r="M243">
        <v>43200</v>
      </c>
      <c r="N243">
        <v>15000</v>
      </c>
      <c r="O243" t="s">
        <v>76</v>
      </c>
      <c r="P243" t="s">
        <v>31</v>
      </c>
      <c r="Q243">
        <f t="shared" si="24"/>
        <v>43200</v>
      </c>
      <c r="R243">
        <f t="shared" si="25"/>
        <v>0</v>
      </c>
      <c r="S243">
        <f t="shared" si="26"/>
        <v>30000</v>
      </c>
      <c r="T243">
        <f t="shared" si="27"/>
        <v>13200</v>
      </c>
      <c r="U243">
        <f t="shared" si="28"/>
        <v>4</v>
      </c>
      <c r="V243" t="b">
        <f t="shared" si="29"/>
        <v>0</v>
      </c>
      <c r="W243">
        <f t="shared" si="30"/>
        <v>4</v>
      </c>
      <c r="X243" t="b">
        <f t="shared" si="31"/>
        <v>0</v>
      </c>
    </row>
    <row r="244" spans="1:24" x14ac:dyDescent="0.35">
      <c r="A244">
        <v>100243</v>
      </c>
      <c r="B244" s="1">
        <v>46219</v>
      </c>
      <c r="C244" t="s">
        <v>25</v>
      </c>
      <c r="D244" t="s">
        <v>26</v>
      </c>
      <c r="E244" t="s">
        <v>37</v>
      </c>
      <c r="F244" t="s">
        <v>19</v>
      </c>
      <c r="G244" t="s">
        <v>62</v>
      </c>
      <c r="H244" t="s">
        <v>175</v>
      </c>
      <c r="I244" t="s">
        <v>22</v>
      </c>
      <c r="J244">
        <v>5</v>
      </c>
      <c r="K244">
        <v>24000</v>
      </c>
      <c r="L244">
        <v>0.1</v>
      </c>
      <c r="M244">
        <v>108000</v>
      </c>
      <c r="N244">
        <v>15000</v>
      </c>
      <c r="O244" t="s">
        <v>23</v>
      </c>
      <c r="P244" t="s">
        <v>54</v>
      </c>
      <c r="Q244">
        <f t="shared" si="24"/>
        <v>108000</v>
      </c>
      <c r="R244">
        <f t="shared" si="25"/>
        <v>0</v>
      </c>
      <c r="S244">
        <f t="shared" si="26"/>
        <v>75000</v>
      </c>
      <c r="T244">
        <f t="shared" si="27"/>
        <v>33000</v>
      </c>
      <c r="U244">
        <f t="shared" si="28"/>
        <v>5</v>
      </c>
      <c r="V244" t="b">
        <f t="shared" si="29"/>
        <v>0</v>
      </c>
      <c r="W244">
        <f t="shared" si="30"/>
        <v>4</v>
      </c>
      <c r="X244" t="b">
        <f t="shared" si="31"/>
        <v>0</v>
      </c>
    </row>
    <row r="245" spans="1:24" x14ac:dyDescent="0.35">
      <c r="A245">
        <v>100244</v>
      </c>
      <c r="B245" s="1">
        <v>46051</v>
      </c>
      <c r="C245" t="s">
        <v>35</v>
      </c>
      <c r="D245" t="s">
        <v>36</v>
      </c>
      <c r="E245" t="s">
        <v>18</v>
      </c>
      <c r="F245" t="s">
        <v>27</v>
      </c>
      <c r="G245" t="s">
        <v>38</v>
      </c>
      <c r="H245" t="s">
        <v>202</v>
      </c>
      <c r="I245" t="s">
        <v>30</v>
      </c>
      <c r="J245">
        <v>3</v>
      </c>
      <c r="K245">
        <v>26000</v>
      </c>
      <c r="L245">
        <v>0.05</v>
      </c>
      <c r="M245">
        <v>74100</v>
      </c>
      <c r="N245">
        <v>15000</v>
      </c>
      <c r="O245" t="s">
        <v>23</v>
      </c>
      <c r="P245" t="s">
        <v>31</v>
      </c>
      <c r="Q245">
        <f t="shared" si="24"/>
        <v>74100</v>
      </c>
      <c r="R245">
        <f t="shared" si="25"/>
        <v>0</v>
      </c>
      <c r="S245">
        <f t="shared" si="26"/>
        <v>45000</v>
      </c>
      <c r="T245">
        <f t="shared" si="27"/>
        <v>29100</v>
      </c>
      <c r="U245">
        <f t="shared" si="28"/>
        <v>4</v>
      </c>
      <c r="V245" t="b">
        <f t="shared" si="29"/>
        <v>0</v>
      </c>
      <c r="W245">
        <f t="shared" si="30"/>
        <v>11</v>
      </c>
      <c r="X245" t="b">
        <f t="shared" si="31"/>
        <v>0</v>
      </c>
    </row>
    <row r="246" spans="1:24" x14ac:dyDescent="0.35">
      <c r="A246">
        <v>100245</v>
      </c>
      <c r="B246" s="1">
        <v>46199</v>
      </c>
      <c r="C246" t="s">
        <v>42</v>
      </c>
      <c r="D246" t="s">
        <v>26</v>
      </c>
      <c r="E246" t="s">
        <v>37</v>
      </c>
      <c r="F246" t="s">
        <v>44</v>
      </c>
      <c r="G246" t="s">
        <v>65</v>
      </c>
      <c r="H246" t="s">
        <v>82</v>
      </c>
      <c r="I246" t="s">
        <v>22</v>
      </c>
      <c r="J246">
        <v>1</v>
      </c>
      <c r="K246">
        <v>28000</v>
      </c>
      <c r="L246">
        <v>0.15</v>
      </c>
      <c r="M246">
        <v>23800</v>
      </c>
      <c r="N246">
        <v>16000</v>
      </c>
      <c r="O246" t="s">
        <v>23</v>
      </c>
      <c r="P246" t="s">
        <v>47</v>
      </c>
      <c r="Q246">
        <f t="shared" si="24"/>
        <v>23800</v>
      </c>
      <c r="R246">
        <f t="shared" si="25"/>
        <v>0</v>
      </c>
      <c r="S246">
        <f t="shared" si="26"/>
        <v>16000</v>
      </c>
      <c r="T246">
        <f t="shared" si="27"/>
        <v>7800</v>
      </c>
      <c r="U246">
        <f t="shared" si="28"/>
        <v>5</v>
      </c>
      <c r="V246" t="b">
        <f t="shared" si="29"/>
        <v>0</v>
      </c>
      <c r="W246">
        <f t="shared" si="30"/>
        <v>11</v>
      </c>
      <c r="X246" t="b">
        <f t="shared" si="31"/>
        <v>0</v>
      </c>
    </row>
    <row r="247" spans="1:24" x14ac:dyDescent="0.35">
      <c r="A247">
        <v>100246</v>
      </c>
      <c r="B247" s="1">
        <v>46231</v>
      </c>
      <c r="C247" t="s">
        <v>35</v>
      </c>
      <c r="D247" t="s">
        <v>36</v>
      </c>
      <c r="E247" t="s">
        <v>43</v>
      </c>
      <c r="F247" t="s">
        <v>27</v>
      </c>
      <c r="G247" t="s">
        <v>28</v>
      </c>
      <c r="H247" t="s">
        <v>112</v>
      </c>
      <c r="I247" t="s">
        <v>22</v>
      </c>
      <c r="J247">
        <v>1</v>
      </c>
      <c r="K247">
        <v>165000</v>
      </c>
      <c r="L247">
        <v>0.05</v>
      </c>
      <c r="M247">
        <v>156750</v>
      </c>
      <c r="N247">
        <v>112000</v>
      </c>
      <c r="O247" t="s">
        <v>23</v>
      </c>
      <c r="P247" t="s">
        <v>24</v>
      </c>
      <c r="Q247">
        <f t="shared" si="24"/>
        <v>156750</v>
      </c>
      <c r="R247">
        <f t="shared" si="25"/>
        <v>0</v>
      </c>
      <c r="S247">
        <f t="shared" si="26"/>
        <v>112000</v>
      </c>
      <c r="T247">
        <f t="shared" si="27"/>
        <v>44750</v>
      </c>
      <c r="U247">
        <f t="shared" si="28"/>
        <v>4</v>
      </c>
      <c r="V247" t="b">
        <f t="shared" si="29"/>
        <v>0</v>
      </c>
      <c r="W247">
        <f t="shared" si="30"/>
        <v>11</v>
      </c>
      <c r="X247" t="b">
        <f t="shared" si="31"/>
        <v>0</v>
      </c>
    </row>
    <row r="248" spans="1:24" x14ac:dyDescent="0.35">
      <c r="A248">
        <v>100247</v>
      </c>
      <c r="B248" s="1">
        <v>46237</v>
      </c>
      <c r="C248" t="s">
        <v>32</v>
      </c>
      <c r="D248" t="s">
        <v>17</v>
      </c>
      <c r="E248" t="s">
        <v>43</v>
      </c>
      <c r="F248" t="s">
        <v>19</v>
      </c>
      <c r="G248" t="s">
        <v>62</v>
      </c>
      <c r="H248" t="s">
        <v>92</v>
      </c>
      <c r="I248" t="s">
        <v>30</v>
      </c>
      <c r="J248">
        <v>2</v>
      </c>
      <c r="K248">
        <v>24000</v>
      </c>
      <c r="L248">
        <v>0.2</v>
      </c>
      <c r="M248">
        <v>38400</v>
      </c>
      <c r="N248">
        <v>15000</v>
      </c>
      <c r="O248" t="s">
        <v>23</v>
      </c>
      <c r="P248" t="s">
        <v>40</v>
      </c>
      <c r="Q248">
        <f t="shared" si="24"/>
        <v>38400</v>
      </c>
      <c r="R248">
        <f t="shared" si="25"/>
        <v>0</v>
      </c>
      <c r="S248">
        <f t="shared" si="26"/>
        <v>30000</v>
      </c>
      <c r="T248">
        <f t="shared" si="27"/>
        <v>8400</v>
      </c>
      <c r="U248">
        <f t="shared" si="28"/>
        <v>5</v>
      </c>
      <c r="V248" t="b">
        <f t="shared" si="29"/>
        <v>0</v>
      </c>
      <c r="W248">
        <f t="shared" si="30"/>
        <v>4</v>
      </c>
      <c r="X248" t="b">
        <f t="shared" si="31"/>
        <v>0</v>
      </c>
    </row>
    <row r="249" spans="1:24" x14ac:dyDescent="0.35">
      <c r="A249">
        <v>100248</v>
      </c>
      <c r="B249" s="1">
        <v>46225</v>
      </c>
      <c r="C249" t="s">
        <v>25</v>
      </c>
      <c r="D249" t="s">
        <v>26</v>
      </c>
      <c r="E249" t="s">
        <v>43</v>
      </c>
      <c r="F249" t="s">
        <v>44</v>
      </c>
      <c r="G249" t="s">
        <v>45</v>
      </c>
      <c r="H249" t="s">
        <v>203</v>
      </c>
      <c r="I249" t="s">
        <v>30</v>
      </c>
      <c r="J249">
        <v>1</v>
      </c>
      <c r="K249">
        <v>6500</v>
      </c>
      <c r="L249">
        <v>0.05</v>
      </c>
      <c r="M249">
        <v>6175</v>
      </c>
      <c r="N249">
        <v>2200</v>
      </c>
      <c r="O249" t="s">
        <v>23</v>
      </c>
      <c r="P249" t="s">
        <v>64</v>
      </c>
      <c r="Q249">
        <f t="shared" si="24"/>
        <v>6175</v>
      </c>
      <c r="R249">
        <f t="shared" si="25"/>
        <v>0</v>
      </c>
      <c r="S249">
        <f t="shared" si="26"/>
        <v>2200</v>
      </c>
      <c r="T249">
        <f t="shared" si="27"/>
        <v>3975</v>
      </c>
      <c r="U249">
        <f t="shared" si="28"/>
        <v>5</v>
      </c>
      <c r="V249" t="b">
        <f t="shared" si="29"/>
        <v>0</v>
      </c>
      <c r="W249">
        <f t="shared" si="30"/>
        <v>11</v>
      </c>
      <c r="X249" t="b">
        <f t="shared" si="31"/>
        <v>0</v>
      </c>
    </row>
    <row r="250" spans="1:24" x14ac:dyDescent="0.35">
      <c r="A250">
        <v>100249</v>
      </c>
      <c r="B250" s="1">
        <v>46116</v>
      </c>
      <c r="C250" t="s">
        <v>35</v>
      </c>
      <c r="D250" t="s">
        <v>36</v>
      </c>
      <c r="E250" t="s">
        <v>37</v>
      </c>
      <c r="F250" t="s">
        <v>19</v>
      </c>
      <c r="G250" t="s">
        <v>52</v>
      </c>
      <c r="H250" t="s">
        <v>204</v>
      </c>
      <c r="I250" t="s">
        <v>22</v>
      </c>
      <c r="J250">
        <v>2</v>
      </c>
      <c r="K250">
        <v>42000</v>
      </c>
      <c r="L250">
        <v>0.1</v>
      </c>
      <c r="M250">
        <v>75600</v>
      </c>
      <c r="N250">
        <v>28000</v>
      </c>
      <c r="O250" t="s">
        <v>23</v>
      </c>
      <c r="P250" t="s">
        <v>47</v>
      </c>
      <c r="Q250">
        <f t="shared" si="24"/>
        <v>75600</v>
      </c>
      <c r="R250">
        <f t="shared" si="25"/>
        <v>0</v>
      </c>
      <c r="S250">
        <f t="shared" si="26"/>
        <v>56000</v>
      </c>
      <c r="T250">
        <f t="shared" si="27"/>
        <v>19600</v>
      </c>
      <c r="U250">
        <f t="shared" si="28"/>
        <v>4</v>
      </c>
      <c r="V250" t="b">
        <f t="shared" si="29"/>
        <v>0</v>
      </c>
      <c r="W250">
        <f t="shared" si="30"/>
        <v>4</v>
      </c>
      <c r="X250" t="b">
        <f t="shared" si="31"/>
        <v>0</v>
      </c>
    </row>
    <row r="251" spans="1:24" x14ac:dyDescent="0.35">
      <c r="A251">
        <v>100250</v>
      </c>
      <c r="B251" s="1">
        <v>46140</v>
      </c>
      <c r="C251" t="s">
        <v>50</v>
      </c>
      <c r="D251" t="s">
        <v>51</v>
      </c>
      <c r="E251" t="s">
        <v>43</v>
      </c>
      <c r="F251" t="s">
        <v>27</v>
      </c>
      <c r="G251" t="s">
        <v>28</v>
      </c>
      <c r="H251" t="s">
        <v>199</v>
      </c>
      <c r="I251" t="s">
        <v>22</v>
      </c>
      <c r="J251">
        <v>4</v>
      </c>
      <c r="K251">
        <v>165000</v>
      </c>
      <c r="L251">
        <v>0</v>
      </c>
      <c r="M251">
        <v>660000</v>
      </c>
      <c r="N251">
        <v>112000</v>
      </c>
      <c r="O251" t="s">
        <v>23</v>
      </c>
      <c r="P251" t="s">
        <v>47</v>
      </c>
      <c r="Q251">
        <f t="shared" si="24"/>
        <v>660000</v>
      </c>
      <c r="R251">
        <f t="shared" si="25"/>
        <v>0</v>
      </c>
      <c r="S251">
        <f t="shared" si="26"/>
        <v>448000</v>
      </c>
      <c r="T251">
        <f t="shared" si="27"/>
        <v>212000</v>
      </c>
      <c r="U251">
        <f t="shared" si="28"/>
        <v>6</v>
      </c>
      <c r="V251" t="b">
        <f t="shared" si="29"/>
        <v>0</v>
      </c>
      <c r="W251">
        <f t="shared" si="30"/>
        <v>11</v>
      </c>
      <c r="X251" t="b">
        <f t="shared" si="31"/>
        <v>0</v>
      </c>
    </row>
    <row r="252" spans="1:24" x14ac:dyDescent="0.35">
      <c r="A252">
        <v>100251</v>
      </c>
      <c r="B252" s="1">
        <v>46226</v>
      </c>
      <c r="C252" t="s">
        <v>25</v>
      </c>
      <c r="D252" t="s">
        <v>26</v>
      </c>
      <c r="E252" t="s">
        <v>43</v>
      </c>
      <c r="F252" t="s">
        <v>19</v>
      </c>
      <c r="G252" t="s">
        <v>52</v>
      </c>
      <c r="H252" t="s">
        <v>186</v>
      </c>
      <c r="I252" t="s">
        <v>30</v>
      </c>
      <c r="J252">
        <v>2</v>
      </c>
      <c r="K252">
        <v>42000</v>
      </c>
      <c r="L252">
        <v>0</v>
      </c>
      <c r="M252">
        <v>84000</v>
      </c>
      <c r="N252">
        <v>28000</v>
      </c>
      <c r="O252" t="s">
        <v>23</v>
      </c>
      <c r="P252" t="s">
        <v>47</v>
      </c>
      <c r="Q252">
        <f t="shared" si="24"/>
        <v>84000</v>
      </c>
      <c r="R252">
        <f t="shared" si="25"/>
        <v>0</v>
      </c>
      <c r="S252">
        <f t="shared" si="26"/>
        <v>56000</v>
      </c>
      <c r="T252">
        <f t="shared" si="27"/>
        <v>28000</v>
      </c>
      <c r="U252">
        <f t="shared" si="28"/>
        <v>5</v>
      </c>
      <c r="V252" t="b">
        <f t="shared" si="29"/>
        <v>0</v>
      </c>
      <c r="W252">
        <f t="shared" si="30"/>
        <v>4</v>
      </c>
      <c r="X252" t="b">
        <f t="shared" si="31"/>
        <v>0</v>
      </c>
    </row>
    <row r="253" spans="1:24" x14ac:dyDescent="0.35">
      <c r="A253">
        <v>100252</v>
      </c>
      <c r="B253" s="1">
        <v>46214</v>
      </c>
      <c r="C253" t="s">
        <v>35</v>
      </c>
      <c r="D253" t="s">
        <v>36</v>
      </c>
      <c r="E253" t="s">
        <v>43</v>
      </c>
      <c r="F253" t="s">
        <v>27</v>
      </c>
      <c r="G253" t="s">
        <v>38</v>
      </c>
      <c r="H253" t="s">
        <v>167</v>
      </c>
      <c r="I253" t="s">
        <v>30</v>
      </c>
      <c r="J253">
        <v>2</v>
      </c>
      <c r="K253">
        <v>26000</v>
      </c>
      <c r="L253">
        <v>0</v>
      </c>
      <c r="M253">
        <v>52000</v>
      </c>
      <c r="N253">
        <v>15000</v>
      </c>
      <c r="O253" t="s">
        <v>23</v>
      </c>
      <c r="P253" t="s">
        <v>58</v>
      </c>
      <c r="Q253">
        <f t="shared" si="24"/>
        <v>52000</v>
      </c>
      <c r="R253">
        <f t="shared" si="25"/>
        <v>0</v>
      </c>
      <c r="S253">
        <f t="shared" si="26"/>
        <v>30000</v>
      </c>
      <c r="T253">
        <f t="shared" si="27"/>
        <v>22000</v>
      </c>
      <c r="U253">
        <f t="shared" si="28"/>
        <v>4</v>
      </c>
      <c r="V253" t="b">
        <f t="shared" si="29"/>
        <v>0</v>
      </c>
      <c r="W253">
        <f t="shared" si="30"/>
        <v>11</v>
      </c>
      <c r="X253" t="b">
        <f t="shared" si="31"/>
        <v>0</v>
      </c>
    </row>
    <row r="254" spans="1:24" x14ac:dyDescent="0.35">
      <c r="A254">
        <v>100253</v>
      </c>
      <c r="B254" s="1">
        <v>46024</v>
      </c>
      <c r="C254" t="s">
        <v>55</v>
      </c>
      <c r="D254" t="s">
        <v>56</v>
      </c>
      <c r="E254" t="s">
        <v>18</v>
      </c>
      <c r="F254" t="s">
        <v>19</v>
      </c>
      <c r="G254" t="s">
        <v>20</v>
      </c>
      <c r="H254" t="s">
        <v>145</v>
      </c>
      <c r="I254" t="s">
        <v>30</v>
      </c>
      <c r="J254">
        <v>2</v>
      </c>
      <c r="K254">
        <v>58000</v>
      </c>
      <c r="L254">
        <v>0.05</v>
      </c>
      <c r="M254">
        <v>110200</v>
      </c>
      <c r="N254">
        <v>39000</v>
      </c>
      <c r="O254" t="s">
        <v>23</v>
      </c>
      <c r="P254" t="s">
        <v>64</v>
      </c>
      <c r="Q254">
        <f t="shared" si="24"/>
        <v>110200</v>
      </c>
      <c r="R254">
        <f t="shared" si="25"/>
        <v>0</v>
      </c>
      <c r="S254">
        <f t="shared" si="26"/>
        <v>78000</v>
      </c>
      <c r="T254">
        <f t="shared" si="27"/>
        <v>32200</v>
      </c>
      <c r="U254">
        <f t="shared" si="28"/>
        <v>13</v>
      </c>
      <c r="V254" t="b">
        <f t="shared" si="29"/>
        <v>0</v>
      </c>
      <c r="W254">
        <f t="shared" si="30"/>
        <v>4</v>
      </c>
      <c r="X254" t="b">
        <f t="shared" si="31"/>
        <v>0</v>
      </c>
    </row>
    <row r="255" spans="1:24" x14ac:dyDescent="0.35">
      <c r="A255">
        <v>100254</v>
      </c>
      <c r="B255" s="1">
        <v>46123</v>
      </c>
      <c r="C255" t="s">
        <v>35</v>
      </c>
      <c r="D255" t="s">
        <v>36</v>
      </c>
      <c r="E255" t="s">
        <v>37</v>
      </c>
      <c r="F255" t="s">
        <v>19</v>
      </c>
      <c r="G255" t="s">
        <v>20</v>
      </c>
      <c r="H255" t="s">
        <v>103</v>
      </c>
      <c r="I255" t="s">
        <v>30</v>
      </c>
      <c r="J255">
        <v>2</v>
      </c>
      <c r="K255">
        <v>58000</v>
      </c>
      <c r="L255">
        <v>0.1</v>
      </c>
      <c r="M255">
        <v>104400</v>
      </c>
      <c r="N255">
        <v>39000</v>
      </c>
      <c r="O255" t="s">
        <v>23</v>
      </c>
      <c r="P255" t="s">
        <v>40</v>
      </c>
      <c r="Q255">
        <f t="shared" si="24"/>
        <v>104400</v>
      </c>
      <c r="R255">
        <f t="shared" si="25"/>
        <v>0</v>
      </c>
      <c r="S255">
        <f t="shared" si="26"/>
        <v>78000</v>
      </c>
      <c r="T255">
        <f t="shared" si="27"/>
        <v>26400</v>
      </c>
      <c r="U255">
        <f t="shared" si="28"/>
        <v>4</v>
      </c>
      <c r="V255" t="b">
        <f t="shared" si="29"/>
        <v>0</v>
      </c>
      <c r="W255">
        <f t="shared" si="30"/>
        <v>4</v>
      </c>
      <c r="X255" t="b">
        <f t="shared" si="31"/>
        <v>0</v>
      </c>
    </row>
    <row r="256" spans="1:24" x14ac:dyDescent="0.35">
      <c r="A256">
        <v>100255</v>
      </c>
      <c r="B256" s="1">
        <v>46147</v>
      </c>
      <c r="C256" t="s">
        <v>42</v>
      </c>
      <c r="D256" t="s">
        <v>26</v>
      </c>
      <c r="E256" t="s">
        <v>37</v>
      </c>
      <c r="F256" t="s">
        <v>19</v>
      </c>
      <c r="G256" t="s">
        <v>62</v>
      </c>
      <c r="H256" t="s">
        <v>205</v>
      </c>
      <c r="I256" t="s">
        <v>22</v>
      </c>
      <c r="J256">
        <v>5</v>
      </c>
      <c r="K256">
        <v>24000</v>
      </c>
      <c r="L256">
        <v>0.15</v>
      </c>
      <c r="M256">
        <v>102000</v>
      </c>
      <c r="N256">
        <v>15000</v>
      </c>
      <c r="O256" t="s">
        <v>76</v>
      </c>
      <c r="P256" t="s">
        <v>31</v>
      </c>
      <c r="Q256">
        <f t="shared" si="24"/>
        <v>102000</v>
      </c>
      <c r="R256">
        <f t="shared" si="25"/>
        <v>0</v>
      </c>
      <c r="S256">
        <f t="shared" si="26"/>
        <v>75000</v>
      </c>
      <c r="T256">
        <f t="shared" si="27"/>
        <v>27000</v>
      </c>
      <c r="U256">
        <f t="shared" si="28"/>
        <v>5</v>
      </c>
      <c r="V256" t="b">
        <f t="shared" si="29"/>
        <v>0</v>
      </c>
      <c r="W256">
        <f t="shared" si="30"/>
        <v>4</v>
      </c>
      <c r="X256" t="b">
        <f t="shared" si="31"/>
        <v>0</v>
      </c>
    </row>
    <row r="257" spans="1:24" x14ac:dyDescent="0.35">
      <c r="A257">
        <v>100256</v>
      </c>
      <c r="B257" s="1">
        <v>46226</v>
      </c>
      <c r="C257" t="s">
        <v>35</v>
      </c>
      <c r="D257" t="s">
        <v>36</v>
      </c>
      <c r="E257" t="s">
        <v>43</v>
      </c>
      <c r="F257" t="s">
        <v>206</v>
      </c>
      <c r="G257" t="s">
        <v>45</v>
      </c>
      <c r="H257" t="s">
        <v>72</v>
      </c>
      <c r="I257" t="s">
        <v>22</v>
      </c>
      <c r="J257">
        <v>1</v>
      </c>
      <c r="K257">
        <v>6500</v>
      </c>
      <c r="L257">
        <v>0.05</v>
      </c>
      <c r="M257">
        <v>6175</v>
      </c>
      <c r="N257">
        <v>2200</v>
      </c>
      <c r="O257" t="s">
        <v>23</v>
      </c>
      <c r="P257" t="s">
        <v>84</v>
      </c>
      <c r="Q257">
        <f t="shared" si="24"/>
        <v>6175</v>
      </c>
      <c r="R257">
        <f t="shared" si="25"/>
        <v>0</v>
      </c>
      <c r="S257">
        <f t="shared" si="26"/>
        <v>2200</v>
      </c>
      <c r="T257">
        <f t="shared" si="27"/>
        <v>3975</v>
      </c>
      <c r="U257">
        <f t="shared" si="28"/>
        <v>4</v>
      </c>
      <c r="V257" t="b">
        <f t="shared" si="29"/>
        <v>0</v>
      </c>
      <c r="W257">
        <f t="shared" si="30"/>
        <v>11</v>
      </c>
      <c r="X257" t="b">
        <f t="shared" si="31"/>
        <v>0</v>
      </c>
    </row>
    <row r="258" spans="1:24" x14ac:dyDescent="0.35">
      <c r="A258">
        <v>100257</v>
      </c>
      <c r="B258" s="1">
        <v>46085</v>
      </c>
      <c r="C258" t="s">
        <v>25</v>
      </c>
      <c r="D258" t="s">
        <v>26</v>
      </c>
      <c r="E258" t="s">
        <v>37</v>
      </c>
      <c r="F258" t="s">
        <v>19</v>
      </c>
      <c r="G258" t="s">
        <v>20</v>
      </c>
      <c r="H258" t="s">
        <v>160</v>
      </c>
      <c r="I258" t="s">
        <v>30</v>
      </c>
      <c r="J258">
        <v>1</v>
      </c>
      <c r="K258">
        <v>58000</v>
      </c>
      <c r="L258">
        <v>0.05</v>
      </c>
      <c r="M258">
        <v>55100</v>
      </c>
      <c r="N258">
        <v>39000</v>
      </c>
      <c r="O258" t="s">
        <v>23</v>
      </c>
      <c r="P258" t="s">
        <v>47</v>
      </c>
      <c r="Q258">
        <f t="shared" ref="Q258:Q321" si="32">J258*K258*(1-L258)</f>
        <v>55100</v>
      </c>
      <c r="R258">
        <f t="shared" ref="R258:R321" si="33">M258-Q258</f>
        <v>0</v>
      </c>
      <c r="S258">
        <f t="shared" si="26"/>
        <v>39000</v>
      </c>
      <c r="T258">
        <f t="shared" si="27"/>
        <v>16100</v>
      </c>
      <c r="U258">
        <f t="shared" si="28"/>
        <v>5</v>
      </c>
      <c r="V258" t="b">
        <f t="shared" si="29"/>
        <v>0</v>
      </c>
      <c r="W258">
        <f t="shared" si="30"/>
        <v>4</v>
      </c>
      <c r="X258" t="b">
        <f t="shared" si="31"/>
        <v>0</v>
      </c>
    </row>
    <row r="259" spans="1:24" x14ac:dyDescent="0.35">
      <c r="A259">
        <v>100258</v>
      </c>
      <c r="B259" s="1">
        <v>46204</v>
      </c>
      <c r="C259" t="s">
        <v>55</v>
      </c>
      <c r="D259" t="s">
        <v>56</v>
      </c>
      <c r="E259" t="s">
        <v>18</v>
      </c>
      <c r="F259" t="s">
        <v>19</v>
      </c>
      <c r="G259" t="s">
        <v>52</v>
      </c>
      <c r="H259" t="s">
        <v>78</v>
      </c>
      <c r="I259" t="s">
        <v>22</v>
      </c>
      <c r="J259">
        <v>4</v>
      </c>
      <c r="K259">
        <v>42000</v>
      </c>
      <c r="L259">
        <v>0.15</v>
      </c>
      <c r="M259">
        <v>142800</v>
      </c>
      <c r="N259">
        <v>28000</v>
      </c>
      <c r="O259" t="s">
        <v>23</v>
      </c>
      <c r="P259" t="s">
        <v>84</v>
      </c>
      <c r="Q259">
        <f t="shared" si="32"/>
        <v>142800</v>
      </c>
      <c r="R259">
        <f t="shared" si="33"/>
        <v>0</v>
      </c>
      <c r="S259">
        <f t="shared" ref="S259:S322" si="34">J259*N259</f>
        <v>112000</v>
      </c>
      <c r="T259">
        <f t="shared" ref="T259:T322" si="35">Q259-S259</f>
        <v>30800</v>
      </c>
      <c r="U259">
        <f t="shared" ref="U259:U322" si="36">LEN(D259)</f>
        <v>13</v>
      </c>
      <c r="V259" t="b">
        <f t="shared" ref="V259:V322" si="37">AND(LEFT(D259,5)="Lagos",LEN(D259)&gt;5)</f>
        <v>0</v>
      </c>
      <c r="W259">
        <f t="shared" ref="W259:W322" si="38">LEN(F259)</f>
        <v>4</v>
      </c>
      <c r="X259" t="b">
        <f t="shared" ref="X259:X322" si="39">AND(LEFT(F259,11)="Accessories",LEN(F259)&gt;11)</f>
        <v>0</v>
      </c>
    </row>
    <row r="260" spans="1:24" x14ac:dyDescent="0.35">
      <c r="A260">
        <v>100259</v>
      </c>
      <c r="B260" s="1">
        <v>46226</v>
      </c>
      <c r="C260" t="s">
        <v>32</v>
      </c>
      <c r="D260" t="s">
        <v>17</v>
      </c>
      <c r="E260" t="s">
        <v>43</v>
      </c>
      <c r="F260" t="s">
        <v>27</v>
      </c>
      <c r="G260" t="s">
        <v>28</v>
      </c>
      <c r="H260" t="s">
        <v>193</v>
      </c>
      <c r="I260" t="s">
        <v>30</v>
      </c>
      <c r="J260">
        <v>1</v>
      </c>
      <c r="K260">
        <v>165000</v>
      </c>
      <c r="L260">
        <v>0.25</v>
      </c>
      <c r="M260">
        <v>136125</v>
      </c>
      <c r="N260">
        <v>112000</v>
      </c>
      <c r="O260" t="s">
        <v>76</v>
      </c>
      <c r="P260" t="s">
        <v>40</v>
      </c>
      <c r="Q260">
        <f t="shared" si="32"/>
        <v>123750</v>
      </c>
      <c r="R260">
        <f t="shared" si="33"/>
        <v>12375</v>
      </c>
      <c r="S260">
        <f t="shared" si="34"/>
        <v>112000</v>
      </c>
      <c r="T260">
        <f t="shared" si="35"/>
        <v>11750</v>
      </c>
      <c r="U260">
        <f t="shared" si="36"/>
        <v>5</v>
      </c>
      <c r="V260" t="b">
        <f t="shared" si="37"/>
        <v>0</v>
      </c>
      <c r="W260">
        <f t="shared" si="38"/>
        <v>11</v>
      </c>
      <c r="X260" t="b">
        <f t="shared" si="39"/>
        <v>0</v>
      </c>
    </row>
    <row r="261" spans="1:24" x14ac:dyDescent="0.35">
      <c r="A261">
        <v>100260</v>
      </c>
      <c r="B261" s="1">
        <v>46126</v>
      </c>
      <c r="C261" t="s">
        <v>55</v>
      </c>
      <c r="D261" t="s">
        <v>56</v>
      </c>
      <c r="E261" t="s">
        <v>18</v>
      </c>
      <c r="F261" t="s">
        <v>27</v>
      </c>
      <c r="G261" t="s">
        <v>33</v>
      </c>
      <c r="H261" t="s">
        <v>107</v>
      </c>
      <c r="I261" t="s">
        <v>30</v>
      </c>
      <c r="J261">
        <v>2</v>
      </c>
      <c r="K261">
        <v>32000</v>
      </c>
      <c r="L261">
        <v>0.15</v>
      </c>
      <c r="M261">
        <v>54400</v>
      </c>
      <c r="N261">
        <v>19000</v>
      </c>
      <c r="O261" t="s">
        <v>23</v>
      </c>
      <c r="P261" t="s">
        <v>64</v>
      </c>
      <c r="Q261">
        <f t="shared" si="32"/>
        <v>54400</v>
      </c>
      <c r="R261">
        <f t="shared" si="33"/>
        <v>0</v>
      </c>
      <c r="S261">
        <f t="shared" si="34"/>
        <v>38000</v>
      </c>
      <c r="T261">
        <f t="shared" si="35"/>
        <v>16400</v>
      </c>
      <c r="U261">
        <f t="shared" si="36"/>
        <v>13</v>
      </c>
      <c r="V261" t="b">
        <f t="shared" si="37"/>
        <v>0</v>
      </c>
      <c r="W261">
        <f t="shared" si="38"/>
        <v>11</v>
      </c>
      <c r="X261" t="b">
        <f t="shared" si="39"/>
        <v>0</v>
      </c>
    </row>
    <row r="262" spans="1:24" x14ac:dyDescent="0.35">
      <c r="A262">
        <v>100261</v>
      </c>
      <c r="B262" s="1">
        <v>46087</v>
      </c>
      <c r="C262" t="s">
        <v>16</v>
      </c>
      <c r="D262" t="s">
        <v>17</v>
      </c>
      <c r="E262" t="s">
        <v>43</v>
      </c>
      <c r="F262" t="s">
        <v>27</v>
      </c>
      <c r="G262" t="s">
        <v>38</v>
      </c>
      <c r="H262" t="s">
        <v>162</v>
      </c>
      <c r="I262" t="s">
        <v>22</v>
      </c>
      <c r="J262">
        <v>4</v>
      </c>
      <c r="K262">
        <v>26000</v>
      </c>
      <c r="L262">
        <v>0</v>
      </c>
      <c r="M262">
        <v>104000</v>
      </c>
      <c r="N262">
        <v>15000</v>
      </c>
      <c r="O262" t="s">
        <v>23</v>
      </c>
      <c r="P262" t="s">
        <v>24</v>
      </c>
      <c r="Q262">
        <f t="shared" si="32"/>
        <v>104000</v>
      </c>
      <c r="R262">
        <f t="shared" si="33"/>
        <v>0</v>
      </c>
      <c r="S262">
        <f t="shared" si="34"/>
        <v>60000</v>
      </c>
      <c r="T262">
        <f t="shared" si="35"/>
        <v>44000</v>
      </c>
      <c r="U262">
        <f t="shared" si="36"/>
        <v>5</v>
      </c>
      <c r="V262" t="b">
        <f t="shared" si="37"/>
        <v>0</v>
      </c>
      <c r="W262">
        <f t="shared" si="38"/>
        <v>11</v>
      </c>
      <c r="X262" t="b">
        <f t="shared" si="39"/>
        <v>0</v>
      </c>
    </row>
    <row r="263" spans="1:24" x14ac:dyDescent="0.35">
      <c r="A263">
        <v>100262</v>
      </c>
      <c r="B263" s="1">
        <v>46063</v>
      </c>
      <c r="C263" t="s">
        <v>50</v>
      </c>
      <c r="D263" t="s">
        <v>51</v>
      </c>
      <c r="E263" t="s">
        <v>37</v>
      </c>
      <c r="F263" t="s">
        <v>19</v>
      </c>
      <c r="G263" t="s">
        <v>62</v>
      </c>
      <c r="H263" t="s">
        <v>91</v>
      </c>
      <c r="I263" t="s">
        <v>22</v>
      </c>
      <c r="J263">
        <v>4</v>
      </c>
      <c r="K263">
        <v>24000</v>
      </c>
      <c r="L263">
        <v>0.05</v>
      </c>
      <c r="M263">
        <v>91200</v>
      </c>
      <c r="N263">
        <v>15000</v>
      </c>
      <c r="O263" t="s">
        <v>23</v>
      </c>
      <c r="P263" t="s">
        <v>47</v>
      </c>
      <c r="Q263">
        <f t="shared" si="32"/>
        <v>91200</v>
      </c>
      <c r="R263">
        <f t="shared" si="33"/>
        <v>0</v>
      </c>
      <c r="S263">
        <f t="shared" si="34"/>
        <v>60000</v>
      </c>
      <c r="T263">
        <f t="shared" si="35"/>
        <v>31200</v>
      </c>
      <c r="U263">
        <f t="shared" si="36"/>
        <v>6</v>
      </c>
      <c r="V263" t="b">
        <f t="shared" si="37"/>
        <v>0</v>
      </c>
      <c r="W263">
        <f t="shared" si="38"/>
        <v>4</v>
      </c>
      <c r="X263" t="b">
        <f t="shared" si="39"/>
        <v>0</v>
      </c>
    </row>
    <row r="264" spans="1:24" x14ac:dyDescent="0.35">
      <c r="A264">
        <v>100263</v>
      </c>
      <c r="B264" s="1">
        <v>46044</v>
      </c>
      <c r="C264" t="s">
        <v>16</v>
      </c>
      <c r="D264" t="s">
        <v>17</v>
      </c>
      <c r="E264" t="s">
        <v>43</v>
      </c>
      <c r="F264" t="s">
        <v>44</v>
      </c>
      <c r="G264" t="s">
        <v>60</v>
      </c>
      <c r="H264" t="s">
        <v>117</v>
      </c>
      <c r="I264" t="s">
        <v>22</v>
      </c>
      <c r="J264">
        <v>5</v>
      </c>
      <c r="K264">
        <v>9000</v>
      </c>
      <c r="L264">
        <v>0.25</v>
      </c>
      <c r="M264">
        <v>33750</v>
      </c>
      <c r="N264">
        <v>3500</v>
      </c>
      <c r="O264" t="s">
        <v>23</v>
      </c>
      <c r="P264" t="s">
        <v>58</v>
      </c>
      <c r="Q264">
        <f t="shared" si="32"/>
        <v>33750</v>
      </c>
      <c r="R264">
        <f t="shared" si="33"/>
        <v>0</v>
      </c>
      <c r="S264">
        <f t="shared" si="34"/>
        <v>17500</v>
      </c>
      <c r="T264">
        <f t="shared" si="35"/>
        <v>16250</v>
      </c>
      <c r="U264">
        <f t="shared" si="36"/>
        <v>5</v>
      </c>
      <c r="V264" t="b">
        <f t="shared" si="37"/>
        <v>0</v>
      </c>
      <c r="W264">
        <f t="shared" si="38"/>
        <v>11</v>
      </c>
      <c r="X264" t="b">
        <f t="shared" si="39"/>
        <v>0</v>
      </c>
    </row>
    <row r="265" spans="1:24" x14ac:dyDescent="0.35">
      <c r="A265">
        <v>100264</v>
      </c>
      <c r="B265" s="1">
        <v>46117</v>
      </c>
      <c r="C265" t="s">
        <v>35</v>
      </c>
      <c r="D265" t="s">
        <v>36</v>
      </c>
      <c r="E265" t="s">
        <v>43</v>
      </c>
      <c r="F265" t="s">
        <v>19</v>
      </c>
      <c r="G265" t="s">
        <v>52</v>
      </c>
      <c r="H265" t="s">
        <v>120</v>
      </c>
      <c r="I265" t="s">
        <v>30</v>
      </c>
      <c r="J265">
        <v>1</v>
      </c>
      <c r="K265">
        <v>42000</v>
      </c>
      <c r="L265">
        <v>0.05</v>
      </c>
      <c r="M265">
        <v>39900</v>
      </c>
      <c r="N265">
        <v>28000</v>
      </c>
      <c r="O265" t="s">
        <v>23</v>
      </c>
      <c r="P265" t="s">
        <v>58</v>
      </c>
      <c r="Q265">
        <f t="shared" si="32"/>
        <v>39900</v>
      </c>
      <c r="R265">
        <f t="shared" si="33"/>
        <v>0</v>
      </c>
      <c r="S265">
        <f t="shared" si="34"/>
        <v>28000</v>
      </c>
      <c r="T265">
        <f t="shared" si="35"/>
        <v>11900</v>
      </c>
      <c r="U265">
        <f t="shared" si="36"/>
        <v>4</v>
      </c>
      <c r="V265" t="b">
        <f t="shared" si="37"/>
        <v>0</v>
      </c>
      <c r="W265">
        <f t="shared" si="38"/>
        <v>4</v>
      </c>
      <c r="X265" t="b">
        <f t="shared" si="39"/>
        <v>0</v>
      </c>
    </row>
    <row r="266" spans="1:24" x14ac:dyDescent="0.35">
      <c r="A266">
        <v>100265</v>
      </c>
      <c r="B266" s="1">
        <v>46053</v>
      </c>
      <c r="C266" t="s">
        <v>55</v>
      </c>
      <c r="D266" t="s">
        <v>56</v>
      </c>
      <c r="E266" t="s">
        <v>43</v>
      </c>
      <c r="F266" t="s">
        <v>27</v>
      </c>
      <c r="G266" t="s">
        <v>33</v>
      </c>
      <c r="H266" t="s">
        <v>207</v>
      </c>
      <c r="I266" t="s">
        <v>30</v>
      </c>
      <c r="J266">
        <v>2</v>
      </c>
      <c r="K266">
        <v>32000</v>
      </c>
      <c r="L266">
        <v>0</v>
      </c>
      <c r="M266">
        <v>64000</v>
      </c>
      <c r="N266">
        <v>19000</v>
      </c>
      <c r="O266" t="s">
        <v>23</v>
      </c>
      <c r="P266" t="s">
        <v>24</v>
      </c>
      <c r="Q266">
        <f t="shared" si="32"/>
        <v>64000</v>
      </c>
      <c r="R266">
        <f t="shared" si="33"/>
        <v>0</v>
      </c>
      <c r="S266">
        <f t="shared" si="34"/>
        <v>38000</v>
      </c>
      <c r="T266">
        <f t="shared" si="35"/>
        <v>26000</v>
      </c>
      <c r="U266">
        <f t="shared" si="36"/>
        <v>13</v>
      </c>
      <c r="V266" t="b">
        <f t="shared" si="37"/>
        <v>0</v>
      </c>
      <c r="W266">
        <f t="shared" si="38"/>
        <v>11</v>
      </c>
      <c r="X266" t="b">
        <f t="shared" si="39"/>
        <v>0</v>
      </c>
    </row>
    <row r="267" spans="1:24" x14ac:dyDescent="0.35">
      <c r="A267">
        <v>100266</v>
      </c>
      <c r="B267" s="1">
        <v>46188</v>
      </c>
      <c r="C267" t="s">
        <v>35</v>
      </c>
      <c r="D267" t="s">
        <v>36</v>
      </c>
      <c r="E267" t="s">
        <v>18</v>
      </c>
      <c r="F267" t="s">
        <v>19</v>
      </c>
      <c r="G267" t="s">
        <v>62</v>
      </c>
      <c r="H267" t="s">
        <v>113</v>
      </c>
      <c r="I267" t="s">
        <v>22</v>
      </c>
      <c r="J267">
        <v>4</v>
      </c>
      <c r="K267">
        <v>24000</v>
      </c>
      <c r="L267">
        <v>0</v>
      </c>
      <c r="M267">
        <v>96000</v>
      </c>
      <c r="N267">
        <v>15000</v>
      </c>
      <c r="O267" t="s">
        <v>23</v>
      </c>
      <c r="P267" t="s">
        <v>64</v>
      </c>
      <c r="Q267">
        <f t="shared" si="32"/>
        <v>96000</v>
      </c>
      <c r="R267">
        <f t="shared" si="33"/>
        <v>0</v>
      </c>
      <c r="S267">
        <f t="shared" si="34"/>
        <v>60000</v>
      </c>
      <c r="T267">
        <f t="shared" si="35"/>
        <v>36000</v>
      </c>
      <c r="U267">
        <f t="shared" si="36"/>
        <v>4</v>
      </c>
      <c r="V267" t="b">
        <f t="shared" si="37"/>
        <v>0</v>
      </c>
      <c r="W267">
        <f t="shared" si="38"/>
        <v>4</v>
      </c>
      <c r="X267" t="b">
        <f t="shared" si="39"/>
        <v>0</v>
      </c>
    </row>
    <row r="268" spans="1:24" x14ac:dyDescent="0.35">
      <c r="A268">
        <v>100267</v>
      </c>
      <c r="B268" s="1">
        <v>46143</v>
      </c>
      <c r="C268" t="s">
        <v>55</v>
      </c>
      <c r="D268" t="s">
        <v>56</v>
      </c>
      <c r="E268" t="s">
        <v>43</v>
      </c>
      <c r="F268" t="s">
        <v>27</v>
      </c>
      <c r="G268" t="s">
        <v>38</v>
      </c>
      <c r="H268" t="s">
        <v>175</v>
      </c>
      <c r="I268" t="s">
        <v>30</v>
      </c>
      <c r="J268">
        <v>1</v>
      </c>
      <c r="K268">
        <v>26000</v>
      </c>
      <c r="L268">
        <v>0.05</v>
      </c>
      <c r="M268">
        <v>24700</v>
      </c>
      <c r="N268">
        <v>15000</v>
      </c>
      <c r="O268" t="s">
        <v>23</v>
      </c>
      <c r="P268" t="s">
        <v>54</v>
      </c>
      <c r="Q268">
        <f t="shared" si="32"/>
        <v>24700</v>
      </c>
      <c r="R268">
        <f t="shared" si="33"/>
        <v>0</v>
      </c>
      <c r="S268">
        <f t="shared" si="34"/>
        <v>15000</v>
      </c>
      <c r="T268">
        <f t="shared" si="35"/>
        <v>9700</v>
      </c>
      <c r="U268">
        <f t="shared" si="36"/>
        <v>13</v>
      </c>
      <c r="V268" t="b">
        <f t="shared" si="37"/>
        <v>0</v>
      </c>
      <c r="W268">
        <f t="shared" si="38"/>
        <v>11</v>
      </c>
      <c r="X268" t="b">
        <f t="shared" si="39"/>
        <v>0</v>
      </c>
    </row>
    <row r="269" spans="1:24" x14ac:dyDescent="0.35">
      <c r="A269">
        <v>100268</v>
      </c>
      <c r="B269" s="1">
        <v>46082</v>
      </c>
      <c r="C269" t="s">
        <v>42</v>
      </c>
      <c r="D269" t="s">
        <v>26</v>
      </c>
      <c r="E269" t="s">
        <v>37</v>
      </c>
      <c r="F269" t="s">
        <v>19</v>
      </c>
      <c r="G269" t="s">
        <v>20</v>
      </c>
      <c r="H269" t="s">
        <v>146</v>
      </c>
      <c r="I269" t="s">
        <v>30</v>
      </c>
      <c r="J269">
        <v>2</v>
      </c>
      <c r="K269">
        <v>58000</v>
      </c>
      <c r="L269">
        <v>0</v>
      </c>
      <c r="M269">
        <v>116000</v>
      </c>
      <c r="N269">
        <v>39000</v>
      </c>
      <c r="O269" t="s">
        <v>23</v>
      </c>
      <c r="P269" t="s">
        <v>64</v>
      </c>
      <c r="Q269">
        <f t="shared" si="32"/>
        <v>116000</v>
      </c>
      <c r="R269">
        <f t="shared" si="33"/>
        <v>0</v>
      </c>
      <c r="S269">
        <f t="shared" si="34"/>
        <v>78000</v>
      </c>
      <c r="T269">
        <f t="shared" si="35"/>
        <v>38000</v>
      </c>
      <c r="U269">
        <f t="shared" si="36"/>
        <v>5</v>
      </c>
      <c r="V269" t="b">
        <f t="shared" si="37"/>
        <v>0</v>
      </c>
      <c r="W269">
        <f t="shared" si="38"/>
        <v>4</v>
      </c>
      <c r="X269" t="b">
        <f t="shared" si="39"/>
        <v>0</v>
      </c>
    </row>
    <row r="270" spans="1:24" x14ac:dyDescent="0.35">
      <c r="A270">
        <v>100269</v>
      </c>
      <c r="B270" s="1">
        <v>46119</v>
      </c>
      <c r="C270" t="s">
        <v>32</v>
      </c>
      <c r="D270" t="s">
        <v>17</v>
      </c>
      <c r="E270" t="s">
        <v>18</v>
      </c>
      <c r="F270" t="s">
        <v>27</v>
      </c>
      <c r="G270" t="s">
        <v>38</v>
      </c>
      <c r="H270" t="s">
        <v>151</v>
      </c>
      <c r="I270" t="s">
        <v>30</v>
      </c>
      <c r="J270">
        <v>5</v>
      </c>
      <c r="K270">
        <v>26000</v>
      </c>
      <c r="L270">
        <v>0.15</v>
      </c>
      <c r="M270">
        <v>110500</v>
      </c>
      <c r="N270">
        <v>15000</v>
      </c>
      <c r="O270" t="s">
        <v>23</v>
      </c>
      <c r="P270" t="s">
        <v>31</v>
      </c>
      <c r="Q270">
        <f t="shared" si="32"/>
        <v>110500</v>
      </c>
      <c r="R270">
        <f t="shared" si="33"/>
        <v>0</v>
      </c>
      <c r="S270">
        <f t="shared" si="34"/>
        <v>75000</v>
      </c>
      <c r="T270">
        <f t="shared" si="35"/>
        <v>35500</v>
      </c>
      <c r="U270">
        <f t="shared" si="36"/>
        <v>5</v>
      </c>
      <c r="V270" t="b">
        <f t="shared" si="37"/>
        <v>0</v>
      </c>
      <c r="W270">
        <f t="shared" si="38"/>
        <v>11</v>
      </c>
      <c r="X270" t="b">
        <f t="shared" si="39"/>
        <v>0</v>
      </c>
    </row>
    <row r="271" spans="1:24" x14ac:dyDescent="0.35">
      <c r="A271">
        <v>100270</v>
      </c>
      <c r="B271" s="1">
        <v>46189</v>
      </c>
      <c r="C271" t="s">
        <v>55</v>
      </c>
      <c r="D271" t="s">
        <v>56</v>
      </c>
      <c r="E271" t="s">
        <v>37</v>
      </c>
      <c r="F271" t="s">
        <v>44</v>
      </c>
      <c r="G271" t="s">
        <v>65</v>
      </c>
      <c r="H271" t="s">
        <v>208</v>
      </c>
      <c r="I271" t="s">
        <v>30</v>
      </c>
      <c r="J271">
        <v>4</v>
      </c>
      <c r="K271">
        <v>28000</v>
      </c>
      <c r="L271">
        <v>0</v>
      </c>
      <c r="M271">
        <v>112000</v>
      </c>
      <c r="N271">
        <v>16000</v>
      </c>
      <c r="O271" t="s">
        <v>23</v>
      </c>
      <c r="P271" t="s">
        <v>40</v>
      </c>
      <c r="Q271">
        <f t="shared" si="32"/>
        <v>112000</v>
      </c>
      <c r="R271">
        <f t="shared" si="33"/>
        <v>0</v>
      </c>
      <c r="S271">
        <f t="shared" si="34"/>
        <v>64000</v>
      </c>
      <c r="T271">
        <f t="shared" si="35"/>
        <v>48000</v>
      </c>
      <c r="U271">
        <f t="shared" si="36"/>
        <v>13</v>
      </c>
      <c r="V271" t="b">
        <f t="shared" si="37"/>
        <v>0</v>
      </c>
      <c r="W271">
        <f t="shared" si="38"/>
        <v>11</v>
      </c>
      <c r="X271" t="b">
        <f t="shared" si="39"/>
        <v>0</v>
      </c>
    </row>
    <row r="272" spans="1:24" x14ac:dyDescent="0.35">
      <c r="A272">
        <v>100271</v>
      </c>
      <c r="B272" s="1">
        <v>46137</v>
      </c>
      <c r="C272" t="s">
        <v>50</v>
      </c>
      <c r="D272" t="s">
        <v>51</v>
      </c>
      <c r="E272" t="s">
        <v>37</v>
      </c>
      <c r="F272" t="s">
        <v>27</v>
      </c>
      <c r="G272" t="s">
        <v>28</v>
      </c>
      <c r="H272" t="s">
        <v>160</v>
      </c>
      <c r="I272" t="s">
        <v>22</v>
      </c>
      <c r="J272">
        <v>1</v>
      </c>
      <c r="K272">
        <v>165000</v>
      </c>
      <c r="L272">
        <v>0</v>
      </c>
      <c r="M272">
        <v>165000</v>
      </c>
      <c r="N272">
        <v>112000</v>
      </c>
      <c r="O272" t="s">
        <v>23</v>
      </c>
      <c r="P272" t="s">
        <v>24</v>
      </c>
      <c r="Q272">
        <f t="shared" si="32"/>
        <v>165000</v>
      </c>
      <c r="R272">
        <f t="shared" si="33"/>
        <v>0</v>
      </c>
      <c r="S272">
        <f t="shared" si="34"/>
        <v>112000</v>
      </c>
      <c r="T272">
        <f t="shared" si="35"/>
        <v>53000</v>
      </c>
      <c r="U272">
        <f t="shared" si="36"/>
        <v>6</v>
      </c>
      <c r="V272" t="b">
        <f t="shared" si="37"/>
        <v>0</v>
      </c>
      <c r="W272">
        <f t="shared" si="38"/>
        <v>11</v>
      </c>
      <c r="X272" t="b">
        <f t="shared" si="39"/>
        <v>0</v>
      </c>
    </row>
    <row r="273" spans="1:24" x14ac:dyDescent="0.35">
      <c r="A273">
        <v>100272</v>
      </c>
      <c r="B273" s="1">
        <v>46100</v>
      </c>
      <c r="C273" t="s">
        <v>42</v>
      </c>
      <c r="D273" t="s">
        <v>26</v>
      </c>
      <c r="E273" t="s">
        <v>43</v>
      </c>
      <c r="F273" t="s">
        <v>19</v>
      </c>
      <c r="G273" t="s">
        <v>52</v>
      </c>
      <c r="H273" t="s">
        <v>146</v>
      </c>
      <c r="I273" t="s">
        <v>30</v>
      </c>
      <c r="J273">
        <v>1</v>
      </c>
      <c r="K273">
        <v>42000</v>
      </c>
      <c r="L273">
        <v>0</v>
      </c>
      <c r="M273">
        <v>42000</v>
      </c>
      <c r="N273">
        <v>28000</v>
      </c>
      <c r="O273" t="s">
        <v>23</v>
      </c>
      <c r="P273" t="s">
        <v>54</v>
      </c>
      <c r="Q273">
        <f t="shared" si="32"/>
        <v>42000</v>
      </c>
      <c r="R273">
        <f t="shared" si="33"/>
        <v>0</v>
      </c>
      <c r="S273">
        <f t="shared" si="34"/>
        <v>28000</v>
      </c>
      <c r="T273">
        <f t="shared" si="35"/>
        <v>14000</v>
      </c>
      <c r="U273">
        <f t="shared" si="36"/>
        <v>5</v>
      </c>
      <c r="V273" t="b">
        <f t="shared" si="37"/>
        <v>0</v>
      </c>
      <c r="W273">
        <f t="shared" si="38"/>
        <v>4</v>
      </c>
      <c r="X273" t="b">
        <f t="shared" si="39"/>
        <v>0</v>
      </c>
    </row>
    <row r="274" spans="1:24" x14ac:dyDescent="0.35">
      <c r="A274">
        <v>100273</v>
      </c>
      <c r="B274" s="1">
        <v>46037</v>
      </c>
      <c r="C274" t="s">
        <v>50</v>
      </c>
      <c r="D274" t="s">
        <v>51</v>
      </c>
      <c r="E274" t="s">
        <v>37</v>
      </c>
      <c r="F274" t="s">
        <v>27</v>
      </c>
      <c r="G274" t="s">
        <v>28</v>
      </c>
      <c r="H274" t="s">
        <v>209</v>
      </c>
      <c r="I274" t="s">
        <v>22</v>
      </c>
      <c r="J274">
        <v>2</v>
      </c>
      <c r="K274">
        <v>165000</v>
      </c>
      <c r="L274">
        <v>0.05</v>
      </c>
      <c r="M274">
        <v>313500</v>
      </c>
      <c r="N274">
        <v>112000</v>
      </c>
      <c r="O274" t="s">
        <v>23</v>
      </c>
      <c r="P274" t="s">
        <v>47</v>
      </c>
      <c r="Q274">
        <f t="shared" si="32"/>
        <v>313500</v>
      </c>
      <c r="R274">
        <f t="shared" si="33"/>
        <v>0</v>
      </c>
      <c r="S274">
        <f t="shared" si="34"/>
        <v>224000</v>
      </c>
      <c r="T274">
        <f t="shared" si="35"/>
        <v>89500</v>
      </c>
      <c r="U274">
        <f t="shared" si="36"/>
        <v>6</v>
      </c>
      <c r="V274" t="b">
        <f t="shared" si="37"/>
        <v>0</v>
      </c>
      <c r="W274">
        <f t="shared" si="38"/>
        <v>11</v>
      </c>
      <c r="X274" t="b">
        <f t="shared" si="39"/>
        <v>0</v>
      </c>
    </row>
    <row r="275" spans="1:24" x14ac:dyDescent="0.35">
      <c r="A275">
        <v>100274</v>
      </c>
      <c r="B275" s="1">
        <v>46260</v>
      </c>
      <c r="C275" t="s">
        <v>55</v>
      </c>
      <c r="D275" t="s">
        <v>56</v>
      </c>
      <c r="E275" t="s">
        <v>37</v>
      </c>
      <c r="F275" t="s">
        <v>44</v>
      </c>
      <c r="G275" t="s">
        <v>65</v>
      </c>
      <c r="H275" t="s">
        <v>148</v>
      </c>
      <c r="I275" t="s">
        <v>30</v>
      </c>
      <c r="J275">
        <v>3</v>
      </c>
      <c r="K275">
        <v>28000</v>
      </c>
      <c r="L275">
        <v>0</v>
      </c>
      <c r="M275">
        <v>84000</v>
      </c>
      <c r="N275">
        <v>16000</v>
      </c>
      <c r="O275" t="s">
        <v>23</v>
      </c>
      <c r="P275" t="s">
        <v>54</v>
      </c>
      <c r="Q275">
        <f t="shared" si="32"/>
        <v>84000</v>
      </c>
      <c r="R275">
        <f t="shared" si="33"/>
        <v>0</v>
      </c>
      <c r="S275">
        <f t="shared" si="34"/>
        <v>48000</v>
      </c>
      <c r="T275">
        <f t="shared" si="35"/>
        <v>36000</v>
      </c>
      <c r="U275">
        <f t="shared" si="36"/>
        <v>13</v>
      </c>
      <c r="V275" t="b">
        <f t="shared" si="37"/>
        <v>0</v>
      </c>
      <c r="W275">
        <f t="shared" si="38"/>
        <v>11</v>
      </c>
      <c r="X275" t="b">
        <f t="shared" si="39"/>
        <v>0</v>
      </c>
    </row>
    <row r="276" spans="1:24" x14ac:dyDescent="0.35">
      <c r="A276">
        <v>100275</v>
      </c>
      <c r="B276" s="1">
        <v>46156</v>
      </c>
      <c r="C276" t="s">
        <v>25</v>
      </c>
      <c r="D276" t="s">
        <v>26</v>
      </c>
      <c r="E276" t="s">
        <v>37</v>
      </c>
      <c r="F276" t="s">
        <v>27</v>
      </c>
      <c r="G276" t="s">
        <v>38</v>
      </c>
      <c r="H276" t="s">
        <v>100</v>
      </c>
      <c r="I276" t="s">
        <v>22</v>
      </c>
      <c r="J276">
        <v>22</v>
      </c>
      <c r="K276">
        <v>26000</v>
      </c>
      <c r="L276">
        <v>0.05</v>
      </c>
      <c r="M276">
        <v>543400</v>
      </c>
      <c r="N276">
        <v>15000</v>
      </c>
      <c r="O276" t="s">
        <v>23</v>
      </c>
      <c r="P276" t="s">
        <v>58</v>
      </c>
      <c r="Q276">
        <f t="shared" si="32"/>
        <v>543400</v>
      </c>
      <c r="R276">
        <f t="shared" si="33"/>
        <v>0</v>
      </c>
      <c r="S276">
        <f t="shared" si="34"/>
        <v>330000</v>
      </c>
      <c r="T276">
        <f t="shared" si="35"/>
        <v>213400</v>
      </c>
      <c r="U276">
        <f t="shared" si="36"/>
        <v>5</v>
      </c>
      <c r="V276" t="b">
        <f t="shared" si="37"/>
        <v>0</v>
      </c>
      <c r="W276">
        <f t="shared" si="38"/>
        <v>11</v>
      </c>
      <c r="X276" t="b">
        <f t="shared" si="39"/>
        <v>0</v>
      </c>
    </row>
    <row r="277" spans="1:24" x14ac:dyDescent="0.35">
      <c r="A277">
        <v>100276</v>
      </c>
      <c r="B277" s="1">
        <v>46195</v>
      </c>
      <c r="C277" t="s">
        <v>42</v>
      </c>
      <c r="D277" t="s">
        <v>26</v>
      </c>
      <c r="E277" t="s">
        <v>37</v>
      </c>
      <c r="F277" t="s">
        <v>19</v>
      </c>
      <c r="G277" t="s">
        <v>62</v>
      </c>
      <c r="H277" t="s">
        <v>158</v>
      </c>
      <c r="I277" t="s">
        <v>22</v>
      </c>
      <c r="J277">
        <v>2</v>
      </c>
      <c r="K277">
        <v>24000</v>
      </c>
      <c r="L277">
        <v>0.1</v>
      </c>
      <c r="M277">
        <v>43200</v>
      </c>
      <c r="N277">
        <v>15000</v>
      </c>
      <c r="O277" t="s">
        <v>23</v>
      </c>
      <c r="P277" t="s">
        <v>58</v>
      </c>
      <c r="Q277">
        <f t="shared" si="32"/>
        <v>43200</v>
      </c>
      <c r="R277">
        <f t="shared" si="33"/>
        <v>0</v>
      </c>
      <c r="S277">
        <f t="shared" si="34"/>
        <v>30000</v>
      </c>
      <c r="T277">
        <f t="shared" si="35"/>
        <v>13200</v>
      </c>
      <c r="U277">
        <f t="shared" si="36"/>
        <v>5</v>
      </c>
      <c r="V277" t="b">
        <f t="shared" si="37"/>
        <v>0</v>
      </c>
      <c r="W277">
        <f t="shared" si="38"/>
        <v>4</v>
      </c>
      <c r="X277" t="b">
        <f t="shared" si="39"/>
        <v>0</v>
      </c>
    </row>
    <row r="278" spans="1:24" x14ac:dyDescent="0.35">
      <c r="A278">
        <v>100277</v>
      </c>
      <c r="B278" s="1">
        <v>46231</v>
      </c>
      <c r="C278" t="s">
        <v>25</v>
      </c>
      <c r="D278" t="s">
        <v>26</v>
      </c>
      <c r="E278" t="s">
        <v>43</v>
      </c>
      <c r="F278" t="s">
        <v>27</v>
      </c>
      <c r="G278" t="s">
        <v>38</v>
      </c>
      <c r="H278" t="s">
        <v>138</v>
      </c>
      <c r="I278" t="s">
        <v>22</v>
      </c>
      <c r="J278">
        <v>22</v>
      </c>
      <c r="K278">
        <v>26000</v>
      </c>
      <c r="L278">
        <v>0</v>
      </c>
      <c r="M278">
        <v>572000</v>
      </c>
      <c r="N278">
        <v>15000</v>
      </c>
      <c r="O278" t="s">
        <v>23</v>
      </c>
      <c r="P278" t="s">
        <v>40</v>
      </c>
      <c r="Q278">
        <f t="shared" si="32"/>
        <v>572000</v>
      </c>
      <c r="R278">
        <f t="shared" si="33"/>
        <v>0</v>
      </c>
      <c r="S278">
        <f t="shared" si="34"/>
        <v>330000</v>
      </c>
      <c r="T278">
        <f t="shared" si="35"/>
        <v>242000</v>
      </c>
      <c r="U278">
        <f t="shared" si="36"/>
        <v>5</v>
      </c>
      <c r="V278" t="b">
        <f t="shared" si="37"/>
        <v>0</v>
      </c>
      <c r="W278">
        <f t="shared" si="38"/>
        <v>11</v>
      </c>
      <c r="X278" t="b">
        <f t="shared" si="39"/>
        <v>0</v>
      </c>
    </row>
    <row r="279" spans="1:24" x14ac:dyDescent="0.35">
      <c r="A279">
        <v>100278</v>
      </c>
      <c r="B279" s="1">
        <v>46200</v>
      </c>
      <c r="C279" t="s">
        <v>25</v>
      </c>
      <c r="D279" t="s">
        <v>26</v>
      </c>
      <c r="E279" t="s">
        <v>43</v>
      </c>
      <c r="F279" t="s">
        <v>27</v>
      </c>
      <c r="G279" t="s">
        <v>38</v>
      </c>
      <c r="H279" t="s">
        <v>190</v>
      </c>
      <c r="I279" t="s">
        <v>22</v>
      </c>
      <c r="J279">
        <v>3</v>
      </c>
      <c r="K279">
        <v>26000</v>
      </c>
      <c r="L279">
        <v>0.1</v>
      </c>
      <c r="M279">
        <v>56160</v>
      </c>
      <c r="N279">
        <v>15000</v>
      </c>
      <c r="O279" t="s">
        <v>23</v>
      </c>
      <c r="P279" t="s">
        <v>54</v>
      </c>
      <c r="Q279">
        <f t="shared" si="32"/>
        <v>70200</v>
      </c>
      <c r="R279">
        <f t="shared" si="33"/>
        <v>-14040</v>
      </c>
      <c r="S279">
        <f t="shared" si="34"/>
        <v>45000</v>
      </c>
      <c r="T279">
        <f t="shared" si="35"/>
        <v>25200</v>
      </c>
      <c r="U279">
        <f t="shared" si="36"/>
        <v>5</v>
      </c>
      <c r="V279" t="b">
        <f t="shared" si="37"/>
        <v>0</v>
      </c>
      <c r="W279">
        <f t="shared" si="38"/>
        <v>11</v>
      </c>
      <c r="X279" t="b">
        <f t="shared" si="39"/>
        <v>0</v>
      </c>
    </row>
    <row r="280" spans="1:24" x14ac:dyDescent="0.35">
      <c r="A280">
        <v>100279</v>
      </c>
      <c r="B280" s="1">
        <v>46074</v>
      </c>
      <c r="C280" t="s">
        <v>16</v>
      </c>
      <c r="D280" t="s">
        <v>17</v>
      </c>
      <c r="E280" t="s">
        <v>37</v>
      </c>
      <c r="F280" t="s">
        <v>44</v>
      </c>
      <c r="G280" t="s">
        <v>45</v>
      </c>
      <c r="H280" t="s">
        <v>39</v>
      </c>
      <c r="I280" t="s">
        <v>30</v>
      </c>
      <c r="J280">
        <v>4</v>
      </c>
      <c r="K280">
        <v>6500</v>
      </c>
      <c r="L280">
        <v>0.15</v>
      </c>
      <c r="M280">
        <v>22100</v>
      </c>
      <c r="N280">
        <v>2200</v>
      </c>
      <c r="O280" t="s">
        <v>23</v>
      </c>
      <c r="P280" t="s">
        <v>64</v>
      </c>
      <c r="Q280">
        <f t="shared" si="32"/>
        <v>22100</v>
      </c>
      <c r="R280">
        <f t="shared" si="33"/>
        <v>0</v>
      </c>
      <c r="S280">
        <f t="shared" si="34"/>
        <v>8800</v>
      </c>
      <c r="T280">
        <f t="shared" si="35"/>
        <v>13300</v>
      </c>
      <c r="U280">
        <f t="shared" si="36"/>
        <v>5</v>
      </c>
      <c r="V280" t="b">
        <f t="shared" si="37"/>
        <v>0</v>
      </c>
      <c r="W280">
        <f t="shared" si="38"/>
        <v>11</v>
      </c>
      <c r="X280" t="b">
        <f t="shared" si="39"/>
        <v>0</v>
      </c>
    </row>
    <row r="281" spans="1:24" x14ac:dyDescent="0.35">
      <c r="A281">
        <v>100280</v>
      </c>
      <c r="B281" s="1">
        <v>46189</v>
      </c>
      <c r="C281" t="s">
        <v>25</v>
      </c>
      <c r="D281" t="s">
        <v>26</v>
      </c>
      <c r="E281" t="s">
        <v>18</v>
      </c>
      <c r="F281" t="s">
        <v>27</v>
      </c>
      <c r="G281" t="s">
        <v>33</v>
      </c>
      <c r="H281" t="s">
        <v>210</v>
      </c>
      <c r="I281" t="s">
        <v>30</v>
      </c>
      <c r="J281">
        <v>1</v>
      </c>
      <c r="K281">
        <v>32000</v>
      </c>
      <c r="L281">
        <v>0.05</v>
      </c>
      <c r="M281">
        <v>30400</v>
      </c>
      <c r="N281">
        <v>19000</v>
      </c>
      <c r="O281" t="s">
        <v>23</v>
      </c>
      <c r="P281" t="s">
        <v>40</v>
      </c>
      <c r="Q281">
        <f t="shared" si="32"/>
        <v>30400</v>
      </c>
      <c r="R281">
        <f t="shared" si="33"/>
        <v>0</v>
      </c>
      <c r="S281">
        <f t="shared" si="34"/>
        <v>19000</v>
      </c>
      <c r="T281">
        <f t="shared" si="35"/>
        <v>11400</v>
      </c>
      <c r="U281">
        <f t="shared" si="36"/>
        <v>5</v>
      </c>
      <c r="V281" t="b">
        <f t="shared" si="37"/>
        <v>0</v>
      </c>
      <c r="W281">
        <f t="shared" si="38"/>
        <v>11</v>
      </c>
      <c r="X281" t="b">
        <f t="shared" si="39"/>
        <v>0</v>
      </c>
    </row>
    <row r="282" spans="1:24" x14ac:dyDescent="0.35">
      <c r="A282">
        <v>100281</v>
      </c>
      <c r="B282" s="1">
        <v>46157</v>
      </c>
      <c r="C282" t="s">
        <v>25</v>
      </c>
      <c r="D282" t="s">
        <v>26</v>
      </c>
      <c r="E282" t="s">
        <v>18</v>
      </c>
      <c r="F282" t="s">
        <v>27</v>
      </c>
      <c r="G282" t="s">
        <v>38</v>
      </c>
      <c r="H282" t="s">
        <v>211</v>
      </c>
      <c r="I282" t="s">
        <v>22</v>
      </c>
      <c r="J282">
        <v>1</v>
      </c>
      <c r="K282">
        <v>26000</v>
      </c>
      <c r="L282">
        <v>0.15</v>
      </c>
      <c r="M282">
        <v>22100</v>
      </c>
      <c r="N282">
        <v>15000</v>
      </c>
      <c r="O282" t="s">
        <v>23</v>
      </c>
      <c r="P282" t="s">
        <v>47</v>
      </c>
      <c r="Q282">
        <f t="shared" si="32"/>
        <v>22100</v>
      </c>
      <c r="R282">
        <f t="shared" si="33"/>
        <v>0</v>
      </c>
      <c r="S282">
        <f t="shared" si="34"/>
        <v>15000</v>
      </c>
      <c r="T282">
        <f t="shared" si="35"/>
        <v>7100</v>
      </c>
      <c r="U282">
        <f t="shared" si="36"/>
        <v>5</v>
      </c>
      <c r="V282" t="b">
        <f t="shared" si="37"/>
        <v>0</v>
      </c>
      <c r="W282">
        <f t="shared" si="38"/>
        <v>11</v>
      </c>
      <c r="X282" t="b">
        <f t="shared" si="39"/>
        <v>0</v>
      </c>
    </row>
    <row r="283" spans="1:24" x14ac:dyDescent="0.35">
      <c r="A283">
        <v>100282</v>
      </c>
      <c r="B283" s="1">
        <v>46149</v>
      </c>
      <c r="C283" t="s">
        <v>25</v>
      </c>
      <c r="D283" t="s">
        <v>26</v>
      </c>
      <c r="E283" t="s">
        <v>43</v>
      </c>
      <c r="F283" t="s">
        <v>27</v>
      </c>
      <c r="G283" t="s">
        <v>38</v>
      </c>
      <c r="H283" t="s">
        <v>126</v>
      </c>
      <c r="I283" t="s">
        <v>30</v>
      </c>
      <c r="J283">
        <v>2</v>
      </c>
      <c r="K283">
        <v>26000</v>
      </c>
      <c r="L283">
        <v>0.05</v>
      </c>
      <c r="M283">
        <v>49400</v>
      </c>
      <c r="N283">
        <v>15000</v>
      </c>
      <c r="O283" t="s">
        <v>23</v>
      </c>
      <c r="P283" t="s">
        <v>31</v>
      </c>
      <c r="Q283">
        <f t="shared" si="32"/>
        <v>49400</v>
      </c>
      <c r="R283">
        <f t="shared" si="33"/>
        <v>0</v>
      </c>
      <c r="S283">
        <f t="shared" si="34"/>
        <v>30000</v>
      </c>
      <c r="T283">
        <f t="shared" si="35"/>
        <v>19400</v>
      </c>
      <c r="U283">
        <f t="shared" si="36"/>
        <v>5</v>
      </c>
      <c r="V283" t="b">
        <f t="shared" si="37"/>
        <v>0</v>
      </c>
      <c r="W283">
        <f t="shared" si="38"/>
        <v>11</v>
      </c>
      <c r="X283" t="b">
        <f t="shared" si="39"/>
        <v>0</v>
      </c>
    </row>
    <row r="284" spans="1:24" x14ac:dyDescent="0.35">
      <c r="A284">
        <v>100283</v>
      </c>
      <c r="B284" s="1">
        <v>46260</v>
      </c>
      <c r="C284" t="s">
        <v>25</v>
      </c>
      <c r="D284" t="s">
        <v>26</v>
      </c>
      <c r="E284" t="s">
        <v>43</v>
      </c>
      <c r="F284" t="s">
        <v>19</v>
      </c>
      <c r="G284" t="s">
        <v>20</v>
      </c>
      <c r="H284" t="s">
        <v>125</v>
      </c>
      <c r="I284" t="s">
        <v>30</v>
      </c>
      <c r="J284">
        <v>1</v>
      </c>
      <c r="K284">
        <v>58000</v>
      </c>
      <c r="L284">
        <v>0.05</v>
      </c>
      <c r="M284">
        <v>55100</v>
      </c>
      <c r="N284">
        <v>39000</v>
      </c>
      <c r="O284" t="s">
        <v>23</v>
      </c>
      <c r="P284" t="s">
        <v>47</v>
      </c>
      <c r="Q284">
        <f t="shared" si="32"/>
        <v>55100</v>
      </c>
      <c r="R284">
        <f t="shared" si="33"/>
        <v>0</v>
      </c>
      <c r="S284">
        <f t="shared" si="34"/>
        <v>39000</v>
      </c>
      <c r="T284">
        <f t="shared" si="35"/>
        <v>16100</v>
      </c>
      <c r="U284">
        <f t="shared" si="36"/>
        <v>5</v>
      </c>
      <c r="V284" t="b">
        <f t="shared" si="37"/>
        <v>0</v>
      </c>
      <c r="W284">
        <f t="shared" si="38"/>
        <v>4</v>
      </c>
      <c r="X284" t="b">
        <f t="shared" si="39"/>
        <v>0</v>
      </c>
    </row>
    <row r="285" spans="1:24" x14ac:dyDescent="0.35">
      <c r="A285">
        <v>100284</v>
      </c>
      <c r="B285" s="1">
        <v>46245</v>
      </c>
      <c r="C285" t="s">
        <v>16</v>
      </c>
      <c r="D285" t="s">
        <v>17</v>
      </c>
      <c r="E285" t="s">
        <v>43</v>
      </c>
      <c r="F285" t="s">
        <v>19</v>
      </c>
      <c r="G285" t="s">
        <v>62</v>
      </c>
      <c r="H285" t="s">
        <v>212</v>
      </c>
      <c r="I285" t="s">
        <v>22</v>
      </c>
      <c r="J285">
        <v>4</v>
      </c>
      <c r="K285">
        <v>24000</v>
      </c>
      <c r="L285">
        <v>0.1</v>
      </c>
      <c r="M285">
        <v>95040</v>
      </c>
      <c r="N285">
        <v>15000</v>
      </c>
      <c r="O285" t="s">
        <v>23</v>
      </c>
      <c r="P285" t="s">
        <v>54</v>
      </c>
      <c r="Q285">
        <f t="shared" si="32"/>
        <v>86400</v>
      </c>
      <c r="R285">
        <f t="shared" si="33"/>
        <v>8640</v>
      </c>
      <c r="S285">
        <f t="shared" si="34"/>
        <v>60000</v>
      </c>
      <c r="T285">
        <f t="shared" si="35"/>
        <v>26400</v>
      </c>
      <c r="U285">
        <f t="shared" si="36"/>
        <v>5</v>
      </c>
      <c r="V285" t="b">
        <f t="shared" si="37"/>
        <v>0</v>
      </c>
      <c r="W285">
        <f t="shared" si="38"/>
        <v>4</v>
      </c>
      <c r="X285" t="b">
        <f t="shared" si="39"/>
        <v>0</v>
      </c>
    </row>
    <row r="286" spans="1:24" x14ac:dyDescent="0.35">
      <c r="A286">
        <v>100285</v>
      </c>
      <c r="B286" s="1">
        <v>46221</v>
      </c>
      <c r="C286" t="s">
        <v>35</v>
      </c>
      <c r="D286" t="s">
        <v>36</v>
      </c>
      <c r="E286" t="s">
        <v>37</v>
      </c>
      <c r="F286" t="s">
        <v>19</v>
      </c>
      <c r="G286" t="s">
        <v>62</v>
      </c>
      <c r="H286" t="s">
        <v>165</v>
      </c>
      <c r="I286" t="s">
        <v>30</v>
      </c>
      <c r="J286">
        <v>1</v>
      </c>
      <c r="K286">
        <v>24000</v>
      </c>
      <c r="L286">
        <v>0.05</v>
      </c>
      <c r="M286">
        <v>22800</v>
      </c>
      <c r="N286">
        <v>15000</v>
      </c>
      <c r="O286" t="s">
        <v>23</v>
      </c>
      <c r="P286" t="s">
        <v>58</v>
      </c>
      <c r="Q286">
        <f t="shared" si="32"/>
        <v>22800</v>
      </c>
      <c r="R286">
        <f t="shared" si="33"/>
        <v>0</v>
      </c>
      <c r="S286">
        <f t="shared" si="34"/>
        <v>15000</v>
      </c>
      <c r="T286">
        <f t="shared" si="35"/>
        <v>7800</v>
      </c>
      <c r="U286">
        <f t="shared" si="36"/>
        <v>4</v>
      </c>
      <c r="V286" t="b">
        <f t="shared" si="37"/>
        <v>0</v>
      </c>
      <c r="W286">
        <f t="shared" si="38"/>
        <v>4</v>
      </c>
      <c r="X286" t="b">
        <f t="shared" si="39"/>
        <v>0</v>
      </c>
    </row>
    <row r="287" spans="1:24" x14ac:dyDescent="0.35">
      <c r="A287">
        <v>100286</v>
      </c>
      <c r="B287" s="1">
        <v>46097</v>
      </c>
      <c r="C287" t="s">
        <v>35</v>
      </c>
      <c r="D287" t="s">
        <v>36</v>
      </c>
      <c r="E287" t="s">
        <v>37</v>
      </c>
      <c r="F287" t="s">
        <v>44</v>
      </c>
      <c r="G287" t="s">
        <v>60</v>
      </c>
      <c r="H287" t="s">
        <v>213</v>
      </c>
      <c r="I287" t="s">
        <v>30</v>
      </c>
      <c r="J287">
        <v>1</v>
      </c>
      <c r="K287">
        <v>9000</v>
      </c>
      <c r="L287">
        <v>0.1</v>
      </c>
      <c r="M287">
        <v>8100</v>
      </c>
      <c r="N287">
        <v>3500</v>
      </c>
      <c r="O287" t="s">
        <v>23</v>
      </c>
      <c r="P287" t="s">
        <v>84</v>
      </c>
      <c r="Q287">
        <f t="shared" si="32"/>
        <v>8100</v>
      </c>
      <c r="R287">
        <f t="shared" si="33"/>
        <v>0</v>
      </c>
      <c r="S287">
        <f t="shared" si="34"/>
        <v>3500</v>
      </c>
      <c r="T287">
        <f t="shared" si="35"/>
        <v>4600</v>
      </c>
      <c r="U287">
        <f t="shared" si="36"/>
        <v>4</v>
      </c>
      <c r="V287" t="b">
        <f t="shared" si="37"/>
        <v>0</v>
      </c>
      <c r="W287">
        <f t="shared" si="38"/>
        <v>11</v>
      </c>
      <c r="X287" t="b">
        <f t="shared" si="39"/>
        <v>0</v>
      </c>
    </row>
    <row r="288" spans="1:24" x14ac:dyDescent="0.35">
      <c r="A288">
        <v>100287</v>
      </c>
      <c r="B288" s="1">
        <v>46078</v>
      </c>
      <c r="C288" t="s">
        <v>55</v>
      </c>
      <c r="D288" t="s">
        <v>56</v>
      </c>
      <c r="E288" t="s">
        <v>37</v>
      </c>
      <c r="F288" t="s">
        <v>27</v>
      </c>
      <c r="G288" t="s">
        <v>33</v>
      </c>
      <c r="H288" t="s">
        <v>214</v>
      </c>
      <c r="I288" t="s">
        <v>22</v>
      </c>
      <c r="J288">
        <v>3</v>
      </c>
      <c r="K288">
        <v>32000</v>
      </c>
      <c r="L288">
        <v>0.05</v>
      </c>
      <c r="M288">
        <v>91200</v>
      </c>
      <c r="N288">
        <v>19000</v>
      </c>
      <c r="O288" t="s">
        <v>23</v>
      </c>
      <c r="P288" t="s">
        <v>40</v>
      </c>
      <c r="Q288">
        <f t="shared" si="32"/>
        <v>91200</v>
      </c>
      <c r="R288">
        <f t="shared" si="33"/>
        <v>0</v>
      </c>
      <c r="S288">
        <f t="shared" si="34"/>
        <v>57000</v>
      </c>
      <c r="T288">
        <f t="shared" si="35"/>
        <v>34200</v>
      </c>
      <c r="U288">
        <f t="shared" si="36"/>
        <v>13</v>
      </c>
      <c r="V288" t="b">
        <f t="shared" si="37"/>
        <v>0</v>
      </c>
      <c r="W288">
        <f t="shared" si="38"/>
        <v>11</v>
      </c>
      <c r="X288" t="b">
        <f t="shared" si="39"/>
        <v>0</v>
      </c>
    </row>
    <row r="289" spans="1:24" x14ac:dyDescent="0.35">
      <c r="A289">
        <v>100288</v>
      </c>
      <c r="B289" s="1">
        <v>46177</v>
      </c>
      <c r="C289" t="s">
        <v>50</v>
      </c>
      <c r="D289" t="s">
        <v>51</v>
      </c>
      <c r="E289" t="s">
        <v>43</v>
      </c>
      <c r="F289" t="s">
        <v>27</v>
      </c>
      <c r="G289" t="s">
        <v>38</v>
      </c>
      <c r="H289" t="s">
        <v>154</v>
      </c>
      <c r="I289" t="s">
        <v>30</v>
      </c>
      <c r="J289">
        <v>1</v>
      </c>
      <c r="K289">
        <v>26000</v>
      </c>
      <c r="L289">
        <v>0.05</v>
      </c>
      <c r="M289">
        <v>24700</v>
      </c>
      <c r="N289">
        <v>15000</v>
      </c>
      <c r="O289" t="s">
        <v>23</v>
      </c>
      <c r="P289" t="s">
        <v>24</v>
      </c>
      <c r="Q289">
        <f t="shared" si="32"/>
        <v>24700</v>
      </c>
      <c r="R289">
        <f t="shared" si="33"/>
        <v>0</v>
      </c>
      <c r="S289">
        <f t="shared" si="34"/>
        <v>15000</v>
      </c>
      <c r="T289">
        <f t="shared" si="35"/>
        <v>9700</v>
      </c>
      <c r="U289">
        <f t="shared" si="36"/>
        <v>6</v>
      </c>
      <c r="V289" t="b">
        <f t="shared" si="37"/>
        <v>0</v>
      </c>
      <c r="W289">
        <f t="shared" si="38"/>
        <v>11</v>
      </c>
      <c r="X289" t="b">
        <f t="shared" si="39"/>
        <v>0</v>
      </c>
    </row>
    <row r="290" spans="1:24" x14ac:dyDescent="0.35">
      <c r="A290">
        <v>100289</v>
      </c>
      <c r="B290" s="1">
        <v>46224</v>
      </c>
      <c r="C290" t="s">
        <v>25</v>
      </c>
      <c r="D290" t="s">
        <v>26</v>
      </c>
      <c r="E290" t="s">
        <v>43</v>
      </c>
      <c r="F290" t="s">
        <v>27</v>
      </c>
      <c r="G290" t="s">
        <v>33</v>
      </c>
      <c r="H290" t="s">
        <v>215</v>
      </c>
      <c r="I290" t="s">
        <v>22</v>
      </c>
      <c r="J290">
        <v>3</v>
      </c>
      <c r="K290">
        <v>32000</v>
      </c>
      <c r="L290">
        <v>0.1</v>
      </c>
      <c r="M290">
        <v>86400</v>
      </c>
      <c r="N290">
        <v>19000</v>
      </c>
      <c r="O290" t="s">
        <v>23</v>
      </c>
      <c r="P290" t="s">
        <v>58</v>
      </c>
      <c r="Q290">
        <f t="shared" si="32"/>
        <v>86400</v>
      </c>
      <c r="R290">
        <f t="shared" si="33"/>
        <v>0</v>
      </c>
      <c r="S290">
        <f t="shared" si="34"/>
        <v>57000</v>
      </c>
      <c r="T290">
        <f t="shared" si="35"/>
        <v>29400</v>
      </c>
      <c r="U290">
        <f t="shared" si="36"/>
        <v>5</v>
      </c>
      <c r="V290" t="b">
        <f t="shared" si="37"/>
        <v>0</v>
      </c>
      <c r="W290">
        <f t="shared" si="38"/>
        <v>11</v>
      </c>
      <c r="X290" t="b">
        <f t="shared" si="39"/>
        <v>0</v>
      </c>
    </row>
    <row r="291" spans="1:24" x14ac:dyDescent="0.35">
      <c r="A291">
        <v>100290</v>
      </c>
      <c r="B291" s="1">
        <v>46116</v>
      </c>
      <c r="C291" t="s">
        <v>25</v>
      </c>
      <c r="D291" t="s">
        <v>26</v>
      </c>
      <c r="E291" t="s">
        <v>43</v>
      </c>
      <c r="F291" t="s">
        <v>27</v>
      </c>
      <c r="G291" t="s">
        <v>33</v>
      </c>
      <c r="H291" t="s">
        <v>29</v>
      </c>
      <c r="I291" t="s">
        <v>30</v>
      </c>
      <c r="J291">
        <v>5</v>
      </c>
      <c r="K291">
        <v>32000</v>
      </c>
      <c r="L291">
        <v>0.15</v>
      </c>
      <c r="M291">
        <v>136000</v>
      </c>
      <c r="N291">
        <v>19000</v>
      </c>
      <c r="O291" t="s">
        <v>23</v>
      </c>
      <c r="P291" t="s">
        <v>64</v>
      </c>
      <c r="Q291">
        <f t="shared" si="32"/>
        <v>136000</v>
      </c>
      <c r="R291">
        <f t="shared" si="33"/>
        <v>0</v>
      </c>
      <c r="S291">
        <f t="shared" si="34"/>
        <v>95000</v>
      </c>
      <c r="T291">
        <f t="shared" si="35"/>
        <v>41000</v>
      </c>
      <c r="U291">
        <f t="shared" si="36"/>
        <v>5</v>
      </c>
      <c r="V291" t="b">
        <f t="shared" si="37"/>
        <v>0</v>
      </c>
      <c r="W291">
        <f t="shared" si="38"/>
        <v>11</v>
      </c>
      <c r="X291" t="b">
        <f t="shared" si="39"/>
        <v>0</v>
      </c>
    </row>
    <row r="292" spans="1:24" x14ac:dyDescent="0.35">
      <c r="A292">
        <v>100291</v>
      </c>
      <c r="B292" s="1">
        <v>46110</v>
      </c>
      <c r="C292" t="s">
        <v>50</v>
      </c>
      <c r="D292" t="s">
        <v>51</v>
      </c>
      <c r="E292" t="s">
        <v>43</v>
      </c>
      <c r="F292" t="s">
        <v>27</v>
      </c>
      <c r="G292" t="s">
        <v>33</v>
      </c>
      <c r="H292" t="s">
        <v>79</v>
      </c>
      <c r="I292" t="s">
        <v>30</v>
      </c>
      <c r="J292">
        <v>1</v>
      </c>
      <c r="K292">
        <v>32000</v>
      </c>
      <c r="L292">
        <v>0.1</v>
      </c>
      <c r="M292">
        <v>28800</v>
      </c>
      <c r="N292">
        <v>19000</v>
      </c>
      <c r="O292" t="s">
        <v>23</v>
      </c>
      <c r="P292" t="s">
        <v>54</v>
      </c>
      <c r="Q292">
        <f t="shared" si="32"/>
        <v>28800</v>
      </c>
      <c r="R292">
        <f t="shared" si="33"/>
        <v>0</v>
      </c>
      <c r="S292">
        <f t="shared" si="34"/>
        <v>19000</v>
      </c>
      <c r="T292">
        <f t="shared" si="35"/>
        <v>9800</v>
      </c>
      <c r="U292">
        <f t="shared" si="36"/>
        <v>6</v>
      </c>
      <c r="V292" t="b">
        <f t="shared" si="37"/>
        <v>0</v>
      </c>
      <c r="W292">
        <f t="shared" si="38"/>
        <v>11</v>
      </c>
      <c r="X292" t="b">
        <f t="shared" si="39"/>
        <v>0</v>
      </c>
    </row>
    <row r="293" spans="1:24" x14ac:dyDescent="0.35">
      <c r="A293">
        <v>100292</v>
      </c>
      <c r="B293" s="1">
        <v>46130</v>
      </c>
      <c r="C293" t="s">
        <v>42</v>
      </c>
      <c r="D293" t="s">
        <v>26</v>
      </c>
      <c r="E293" t="s">
        <v>18</v>
      </c>
      <c r="F293" t="s">
        <v>27</v>
      </c>
      <c r="G293" t="s">
        <v>28</v>
      </c>
      <c r="H293" t="s">
        <v>90</v>
      </c>
      <c r="I293" t="s">
        <v>30</v>
      </c>
      <c r="J293">
        <v>1</v>
      </c>
      <c r="K293">
        <v>165000</v>
      </c>
      <c r="L293">
        <v>0.15</v>
      </c>
      <c r="M293">
        <v>140250</v>
      </c>
      <c r="N293">
        <v>112000</v>
      </c>
      <c r="O293" t="s">
        <v>23</v>
      </c>
      <c r="P293" t="s">
        <v>64</v>
      </c>
      <c r="Q293">
        <f t="shared" si="32"/>
        <v>140250</v>
      </c>
      <c r="R293">
        <f t="shared" si="33"/>
        <v>0</v>
      </c>
      <c r="S293">
        <f t="shared" si="34"/>
        <v>112000</v>
      </c>
      <c r="T293">
        <f t="shared" si="35"/>
        <v>28250</v>
      </c>
      <c r="U293">
        <f t="shared" si="36"/>
        <v>5</v>
      </c>
      <c r="V293" t="b">
        <f t="shared" si="37"/>
        <v>0</v>
      </c>
      <c r="W293">
        <f t="shared" si="38"/>
        <v>11</v>
      </c>
      <c r="X293" t="b">
        <f t="shared" si="39"/>
        <v>0</v>
      </c>
    </row>
    <row r="294" spans="1:24" x14ac:dyDescent="0.35">
      <c r="A294">
        <v>100293</v>
      </c>
      <c r="B294" s="1">
        <v>46122</v>
      </c>
      <c r="C294" t="s">
        <v>55</v>
      </c>
      <c r="D294" t="s">
        <v>56</v>
      </c>
      <c r="E294" t="s">
        <v>18</v>
      </c>
      <c r="F294" t="s">
        <v>44</v>
      </c>
      <c r="G294" t="s">
        <v>65</v>
      </c>
      <c r="H294" t="s">
        <v>133</v>
      </c>
      <c r="I294" t="s">
        <v>22</v>
      </c>
      <c r="J294">
        <v>2</v>
      </c>
      <c r="K294">
        <v>28000</v>
      </c>
      <c r="L294">
        <v>0</v>
      </c>
      <c r="M294">
        <v>56000</v>
      </c>
      <c r="N294">
        <v>16000</v>
      </c>
      <c r="O294" t="s">
        <v>23</v>
      </c>
      <c r="P294" t="s">
        <v>47</v>
      </c>
      <c r="Q294">
        <f t="shared" si="32"/>
        <v>56000</v>
      </c>
      <c r="R294">
        <f t="shared" si="33"/>
        <v>0</v>
      </c>
      <c r="S294">
        <f t="shared" si="34"/>
        <v>32000</v>
      </c>
      <c r="T294">
        <f t="shared" si="35"/>
        <v>24000</v>
      </c>
      <c r="U294">
        <f t="shared" si="36"/>
        <v>13</v>
      </c>
      <c r="V294" t="b">
        <f t="shared" si="37"/>
        <v>0</v>
      </c>
      <c r="W294">
        <f t="shared" si="38"/>
        <v>11</v>
      </c>
      <c r="X294" t="b">
        <f t="shared" si="39"/>
        <v>0</v>
      </c>
    </row>
    <row r="295" spans="1:24" x14ac:dyDescent="0.35">
      <c r="A295">
        <v>100294</v>
      </c>
      <c r="B295" s="1">
        <v>46223</v>
      </c>
      <c r="C295" t="s">
        <v>50</v>
      </c>
      <c r="D295" t="s">
        <v>51</v>
      </c>
      <c r="E295" t="s">
        <v>43</v>
      </c>
      <c r="F295" t="s">
        <v>27</v>
      </c>
      <c r="G295" t="s">
        <v>38</v>
      </c>
      <c r="H295" t="s">
        <v>210</v>
      </c>
      <c r="I295" t="s">
        <v>22</v>
      </c>
      <c r="J295">
        <v>3</v>
      </c>
      <c r="K295">
        <v>26000</v>
      </c>
      <c r="L295">
        <v>0.1</v>
      </c>
      <c r="M295">
        <v>63180</v>
      </c>
      <c r="N295">
        <v>15000</v>
      </c>
      <c r="O295" t="s">
        <v>23</v>
      </c>
      <c r="P295" t="s">
        <v>54</v>
      </c>
      <c r="Q295">
        <f t="shared" si="32"/>
        <v>70200</v>
      </c>
      <c r="R295">
        <f t="shared" si="33"/>
        <v>-7020</v>
      </c>
      <c r="S295">
        <f t="shared" si="34"/>
        <v>45000</v>
      </c>
      <c r="T295">
        <f t="shared" si="35"/>
        <v>25200</v>
      </c>
      <c r="U295">
        <f t="shared" si="36"/>
        <v>6</v>
      </c>
      <c r="V295" t="b">
        <f t="shared" si="37"/>
        <v>0</v>
      </c>
      <c r="W295">
        <f t="shared" si="38"/>
        <v>11</v>
      </c>
      <c r="X295" t="b">
        <f t="shared" si="39"/>
        <v>0</v>
      </c>
    </row>
    <row r="296" spans="1:24" x14ac:dyDescent="0.35">
      <c r="A296">
        <v>100295</v>
      </c>
      <c r="B296" s="1">
        <v>46066</v>
      </c>
      <c r="C296" t="s">
        <v>50</v>
      </c>
      <c r="D296" t="s">
        <v>51</v>
      </c>
      <c r="E296" t="s">
        <v>18</v>
      </c>
      <c r="F296" t="s">
        <v>27</v>
      </c>
      <c r="G296" t="s">
        <v>33</v>
      </c>
      <c r="H296" t="s">
        <v>216</v>
      </c>
      <c r="I296" t="s">
        <v>22</v>
      </c>
      <c r="J296">
        <v>1</v>
      </c>
      <c r="K296">
        <v>32000</v>
      </c>
      <c r="L296">
        <v>0.15</v>
      </c>
      <c r="M296">
        <v>27200</v>
      </c>
      <c r="N296">
        <v>19000</v>
      </c>
      <c r="O296" t="s">
        <v>76</v>
      </c>
      <c r="P296" t="s">
        <v>31</v>
      </c>
      <c r="Q296">
        <f t="shared" si="32"/>
        <v>27200</v>
      </c>
      <c r="R296">
        <f t="shared" si="33"/>
        <v>0</v>
      </c>
      <c r="S296">
        <f t="shared" si="34"/>
        <v>19000</v>
      </c>
      <c r="T296">
        <f t="shared" si="35"/>
        <v>8200</v>
      </c>
      <c r="U296">
        <f t="shared" si="36"/>
        <v>6</v>
      </c>
      <c r="V296" t="b">
        <f t="shared" si="37"/>
        <v>0</v>
      </c>
      <c r="W296">
        <f t="shared" si="38"/>
        <v>11</v>
      </c>
      <c r="X296" t="b">
        <f t="shared" si="39"/>
        <v>0</v>
      </c>
    </row>
    <row r="297" spans="1:24" x14ac:dyDescent="0.35">
      <c r="A297">
        <v>100296</v>
      </c>
      <c r="B297" s="1">
        <v>46138</v>
      </c>
      <c r="C297" t="s">
        <v>50</v>
      </c>
      <c r="D297" t="s">
        <v>51</v>
      </c>
      <c r="E297" t="s">
        <v>18</v>
      </c>
      <c r="F297" t="s">
        <v>27</v>
      </c>
      <c r="G297" t="s">
        <v>33</v>
      </c>
      <c r="H297" t="s">
        <v>144</v>
      </c>
      <c r="I297" t="s">
        <v>22</v>
      </c>
      <c r="J297">
        <v>2</v>
      </c>
      <c r="K297">
        <v>32000</v>
      </c>
      <c r="L297">
        <v>0.05</v>
      </c>
      <c r="M297">
        <v>72960</v>
      </c>
      <c r="N297">
        <v>19000</v>
      </c>
      <c r="O297" t="s">
        <v>76</v>
      </c>
      <c r="P297" t="s">
        <v>47</v>
      </c>
      <c r="Q297">
        <f t="shared" si="32"/>
        <v>60800</v>
      </c>
      <c r="R297">
        <f t="shared" si="33"/>
        <v>12160</v>
      </c>
      <c r="S297">
        <f t="shared" si="34"/>
        <v>38000</v>
      </c>
      <c r="T297">
        <f t="shared" si="35"/>
        <v>22800</v>
      </c>
      <c r="U297">
        <f t="shared" si="36"/>
        <v>6</v>
      </c>
      <c r="V297" t="b">
        <f t="shared" si="37"/>
        <v>0</v>
      </c>
      <c r="W297">
        <f t="shared" si="38"/>
        <v>11</v>
      </c>
      <c r="X297" t="b">
        <f t="shared" si="39"/>
        <v>0</v>
      </c>
    </row>
    <row r="298" spans="1:24" x14ac:dyDescent="0.35">
      <c r="A298">
        <v>100297</v>
      </c>
      <c r="B298" s="1">
        <v>46038</v>
      </c>
      <c r="C298" t="s">
        <v>50</v>
      </c>
      <c r="D298" t="s">
        <v>51</v>
      </c>
      <c r="E298" t="s">
        <v>37</v>
      </c>
      <c r="F298" t="s">
        <v>19</v>
      </c>
      <c r="G298" t="s">
        <v>20</v>
      </c>
      <c r="H298" t="s">
        <v>39</v>
      </c>
      <c r="I298" t="s">
        <v>22</v>
      </c>
      <c r="J298">
        <v>1</v>
      </c>
      <c r="K298">
        <v>58000</v>
      </c>
      <c r="L298">
        <v>0</v>
      </c>
      <c r="M298">
        <v>58000</v>
      </c>
      <c r="N298">
        <v>39000</v>
      </c>
      <c r="O298" t="s">
        <v>23</v>
      </c>
      <c r="P298" t="s">
        <v>24</v>
      </c>
      <c r="Q298">
        <f t="shared" si="32"/>
        <v>58000</v>
      </c>
      <c r="R298">
        <f t="shared" si="33"/>
        <v>0</v>
      </c>
      <c r="S298">
        <f t="shared" si="34"/>
        <v>39000</v>
      </c>
      <c r="T298">
        <f t="shared" si="35"/>
        <v>19000</v>
      </c>
      <c r="U298">
        <f t="shared" si="36"/>
        <v>6</v>
      </c>
      <c r="V298" t="b">
        <f t="shared" si="37"/>
        <v>0</v>
      </c>
      <c r="W298">
        <f t="shared" si="38"/>
        <v>4</v>
      </c>
      <c r="X298" t="b">
        <f t="shared" si="39"/>
        <v>0</v>
      </c>
    </row>
    <row r="299" spans="1:24" x14ac:dyDescent="0.35">
      <c r="A299">
        <v>100298</v>
      </c>
      <c r="B299" s="1">
        <v>46054</v>
      </c>
      <c r="C299" t="s">
        <v>42</v>
      </c>
      <c r="D299" t="s">
        <v>26</v>
      </c>
      <c r="E299" t="s">
        <v>37</v>
      </c>
      <c r="F299" t="s">
        <v>27</v>
      </c>
      <c r="G299" t="s">
        <v>38</v>
      </c>
      <c r="H299" t="s">
        <v>217</v>
      </c>
      <c r="I299" t="s">
        <v>30</v>
      </c>
      <c r="J299">
        <v>4</v>
      </c>
      <c r="K299">
        <v>26000</v>
      </c>
      <c r="L299">
        <v>0.1</v>
      </c>
      <c r="M299">
        <v>93600</v>
      </c>
      <c r="N299">
        <v>15000</v>
      </c>
      <c r="O299" t="s">
        <v>23</v>
      </c>
      <c r="P299" t="s">
        <v>54</v>
      </c>
      <c r="Q299">
        <f t="shared" si="32"/>
        <v>93600</v>
      </c>
      <c r="R299">
        <f t="shared" si="33"/>
        <v>0</v>
      </c>
      <c r="S299">
        <f t="shared" si="34"/>
        <v>60000</v>
      </c>
      <c r="T299">
        <f t="shared" si="35"/>
        <v>33600</v>
      </c>
      <c r="U299">
        <f t="shared" si="36"/>
        <v>5</v>
      </c>
      <c r="V299" t="b">
        <f t="shared" si="37"/>
        <v>0</v>
      </c>
      <c r="W299">
        <f t="shared" si="38"/>
        <v>11</v>
      </c>
      <c r="X299" t="b">
        <f t="shared" si="39"/>
        <v>0</v>
      </c>
    </row>
    <row r="300" spans="1:24" x14ac:dyDescent="0.35">
      <c r="A300">
        <v>100299</v>
      </c>
      <c r="B300" s="1">
        <v>46209</v>
      </c>
      <c r="C300" t="s">
        <v>25</v>
      </c>
      <c r="D300" t="s">
        <v>26</v>
      </c>
      <c r="E300" t="s">
        <v>43</v>
      </c>
      <c r="F300" t="s">
        <v>44</v>
      </c>
      <c r="G300" t="s">
        <v>65</v>
      </c>
      <c r="H300" t="s">
        <v>141</v>
      </c>
      <c r="I300" t="s">
        <v>30</v>
      </c>
      <c r="J300">
        <v>2</v>
      </c>
      <c r="K300">
        <v>28000</v>
      </c>
      <c r="L300">
        <v>0.1</v>
      </c>
      <c r="M300">
        <v>50400</v>
      </c>
      <c r="N300">
        <v>16000</v>
      </c>
      <c r="O300" t="s">
        <v>23</v>
      </c>
      <c r="P300" t="s">
        <v>31</v>
      </c>
      <c r="Q300">
        <f t="shared" si="32"/>
        <v>50400</v>
      </c>
      <c r="R300">
        <f t="shared" si="33"/>
        <v>0</v>
      </c>
      <c r="S300">
        <f t="shared" si="34"/>
        <v>32000</v>
      </c>
      <c r="T300">
        <f t="shared" si="35"/>
        <v>18400</v>
      </c>
      <c r="U300">
        <f t="shared" si="36"/>
        <v>5</v>
      </c>
      <c r="V300" t="b">
        <f t="shared" si="37"/>
        <v>0</v>
      </c>
      <c r="W300">
        <f t="shared" si="38"/>
        <v>11</v>
      </c>
      <c r="X300" t="b">
        <f t="shared" si="39"/>
        <v>0</v>
      </c>
    </row>
    <row r="301" spans="1:24" x14ac:dyDescent="0.35">
      <c r="A301">
        <v>100300</v>
      </c>
      <c r="B301" s="1">
        <v>46028</v>
      </c>
      <c r="C301" t="s">
        <v>55</v>
      </c>
      <c r="D301" t="s">
        <v>56</v>
      </c>
      <c r="E301" t="s">
        <v>18</v>
      </c>
      <c r="F301" t="s">
        <v>44</v>
      </c>
      <c r="G301" t="s">
        <v>45</v>
      </c>
      <c r="H301" t="s">
        <v>193</v>
      </c>
      <c r="I301" t="s">
        <v>22</v>
      </c>
      <c r="J301">
        <v>4</v>
      </c>
      <c r="K301">
        <v>6500</v>
      </c>
      <c r="L301">
        <v>0.1</v>
      </c>
      <c r="M301">
        <v>23400</v>
      </c>
      <c r="N301">
        <v>2200</v>
      </c>
      <c r="O301" t="s">
        <v>23</v>
      </c>
      <c r="P301" t="s">
        <v>31</v>
      </c>
      <c r="Q301">
        <f t="shared" si="32"/>
        <v>23400</v>
      </c>
      <c r="R301">
        <f t="shared" si="33"/>
        <v>0</v>
      </c>
      <c r="S301">
        <f t="shared" si="34"/>
        <v>8800</v>
      </c>
      <c r="T301">
        <f t="shared" si="35"/>
        <v>14600</v>
      </c>
      <c r="U301">
        <f t="shared" si="36"/>
        <v>13</v>
      </c>
      <c r="V301" t="b">
        <f t="shared" si="37"/>
        <v>0</v>
      </c>
      <c r="W301">
        <f t="shared" si="38"/>
        <v>11</v>
      </c>
      <c r="X301" t="b">
        <f t="shared" si="39"/>
        <v>0</v>
      </c>
    </row>
    <row r="302" spans="1:24" x14ac:dyDescent="0.35">
      <c r="A302">
        <v>100301</v>
      </c>
      <c r="B302" s="1">
        <v>46087</v>
      </c>
      <c r="C302" t="s">
        <v>42</v>
      </c>
      <c r="D302" t="s">
        <v>26</v>
      </c>
      <c r="E302" t="s">
        <v>43</v>
      </c>
      <c r="F302" t="s">
        <v>27</v>
      </c>
      <c r="G302" t="s">
        <v>38</v>
      </c>
      <c r="H302" t="s">
        <v>95</v>
      </c>
      <c r="I302" t="s">
        <v>30</v>
      </c>
      <c r="J302">
        <v>5</v>
      </c>
      <c r="K302">
        <v>26000</v>
      </c>
      <c r="L302">
        <v>0.05</v>
      </c>
      <c r="M302">
        <v>98800</v>
      </c>
      <c r="N302">
        <v>15000</v>
      </c>
      <c r="O302" t="s">
        <v>76</v>
      </c>
      <c r="P302" t="s">
        <v>84</v>
      </c>
      <c r="Q302">
        <f t="shared" si="32"/>
        <v>123500</v>
      </c>
      <c r="R302">
        <f t="shared" si="33"/>
        <v>-24700</v>
      </c>
      <c r="S302">
        <f t="shared" si="34"/>
        <v>75000</v>
      </c>
      <c r="T302">
        <f t="shared" si="35"/>
        <v>48500</v>
      </c>
      <c r="U302">
        <f t="shared" si="36"/>
        <v>5</v>
      </c>
      <c r="V302" t="b">
        <f t="shared" si="37"/>
        <v>0</v>
      </c>
      <c r="W302">
        <f t="shared" si="38"/>
        <v>11</v>
      </c>
      <c r="X302" t="b">
        <f t="shared" si="39"/>
        <v>0</v>
      </c>
    </row>
    <row r="303" spans="1:24" x14ac:dyDescent="0.35">
      <c r="A303">
        <v>100302</v>
      </c>
      <c r="B303" s="1">
        <v>46081</v>
      </c>
      <c r="C303" t="s">
        <v>42</v>
      </c>
      <c r="D303" t="s">
        <v>26</v>
      </c>
      <c r="E303" t="s">
        <v>43</v>
      </c>
      <c r="F303" t="s">
        <v>44</v>
      </c>
      <c r="G303" t="s">
        <v>65</v>
      </c>
      <c r="H303" t="s">
        <v>99</v>
      </c>
      <c r="I303" t="s">
        <v>30</v>
      </c>
      <c r="J303">
        <v>4</v>
      </c>
      <c r="K303">
        <v>28000</v>
      </c>
      <c r="L303">
        <v>0</v>
      </c>
      <c r="M303">
        <v>112000</v>
      </c>
      <c r="N303">
        <v>16000</v>
      </c>
      <c r="O303" t="s">
        <v>23</v>
      </c>
      <c r="P303" t="s">
        <v>47</v>
      </c>
      <c r="Q303">
        <f t="shared" si="32"/>
        <v>112000</v>
      </c>
      <c r="R303">
        <f t="shared" si="33"/>
        <v>0</v>
      </c>
      <c r="S303">
        <f t="shared" si="34"/>
        <v>64000</v>
      </c>
      <c r="T303">
        <f t="shared" si="35"/>
        <v>48000</v>
      </c>
      <c r="U303">
        <f t="shared" si="36"/>
        <v>5</v>
      </c>
      <c r="V303" t="b">
        <f t="shared" si="37"/>
        <v>0</v>
      </c>
      <c r="W303">
        <f t="shared" si="38"/>
        <v>11</v>
      </c>
      <c r="X303" t="b">
        <f t="shared" si="39"/>
        <v>0</v>
      </c>
    </row>
    <row r="304" spans="1:24" x14ac:dyDescent="0.35">
      <c r="A304">
        <v>100303</v>
      </c>
      <c r="B304" s="1">
        <v>46069</v>
      </c>
      <c r="C304" t="s">
        <v>50</v>
      </c>
      <c r="D304" t="s">
        <v>51</v>
      </c>
      <c r="E304" t="s">
        <v>43</v>
      </c>
      <c r="F304" t="s">
        <v>44</v>
      </c>
      <c r="G304" t="s">
        <v>60</v>
      </c>
      <c r="H304" t="s">
        <v>117</v>
      </c>
      <c r="I304" t="s">
        <v>30</v>
      </c>
      <c r="J304">
        <v>2</v>
      </c>
      <c r="K304">
        <v>9000</v>
      </c>
      <c r="L304">
        <v>0.1</v>
      </c>
      <c r="M304">
        <v>16200</v>
      </c>
      <c r="N304">
        <v>3500</v>
      </c>
      <c r="O304" t="s">
        <v>23</v>
      </c>
      <c r="P304" t="s">
        <v>64</v>
      </c>
      <c r="Q304">
        <f t="shared" si="32"/>
        <v>16200</v>
      </c>
      <c r="R304">
        <f t="shared" si="33"/>
        <v>0</v>
      </c>
      <c r="S304">
        <f t="shared" si="34"/>
        <v>7000</v>
      </c>
      <c r="T304">
        <f t="shared" si="35"/>
        <v>9200</v>
      </c>
      <c r="U304">
        <f t="shared" si="36"/>
        <v>6</v>
      </c>
      <c r="V304" t="b">
        <f t="shared" si="37"/>
        <v>0</v>
      </c>
      <c r="W304">
        <f t="shared" si="38"/>
        <v>11</v>
      </c>
      <c r="X304" t="b">
        <f t="shared" si="39"/>
        <v>0</v>
      </c>
    </row>
    <row r="305" spans="1:24" x14ac:dyDescent="0.35">
      <c r="A305">
        <v>100304</v>
      </c>
      <c r="B305" s="1">
        <v>46204</v>
      </c>
      <c r="C305" t="s">
        <v>35</v>
      </c>
      <c r="D305" t="s">
        <v>36</v>
      </c>
      <c r="E305" t="s">
        <v>18</v>
      </c>
      <c r="F305" t="s">
        <v>19</v>
      </c>
      <c r="G305" t="s">
        <v>20</v>
      </c>
      <c r="H305" t="s">
        <v>218</v>
      </c>
      <c r="I305" t="s">
        <v>22</v>
      </c>
      <c r="J305">
        <v>5</v>
      </c>
      <c r="K305">
        <v>58000</v>
      </c>
      <c r="L305">
        <v>0.1</v>
      </c>
      <c r="M305">
        <v>261000</v>
      </c>
      <c r="N305">
        <v>39000</v>
      </c>
      <c r="O305" t="s">
        <v>23</v>
      </c>
      <c r="P305" t="s">
        <v>47</v>
      </c>
      <c r="Q305">
        <f t="shared" si="32"/>
        <v>261000</v>
      </c>
      <c r="R305">
        <f t="shared" si="33"/>
        <v>0</v>
      </c>
      <c r="S305">
        <f t="shared" si="34"/>
        <v>195000</v>
      </c>
      <c r="T305">
        <f t="shared" si="35"/>
        <v>66000</v>
      </c>
      <c r="U305">
        <f t="shared" si="36"/>
        <v>4</v>
      </c>
      <c r="V305" t="b">
        <f t="shared" si="37"/>
        <v>0</v>
      </c>
      <c r="W305">
        <f t="shared" si="38"/>
        <v>4</v>
      </c>
      <c r="X305" t="b">
        <f t="shared" si="39"/>
        <v>0</v>
      </c>
    </row>
    <row r="306" spans="1:24" x14ac:dyDescent="0.35">
      <c r="A306">
        <v>100305</v>
      </c>
      <c r="B306" s="1">
        <v>46032</v>
      </c>
      <c r="C306" t="s">
        <v>25</v>
      </c>
      <c r="D306" t="s">
        <v>26</v>
      </c>
      <c r="E306" t="s">
        <v>37</v>
      </c>
      <c r="F306" t="s">
        <v>27</v>
      </c>
      <c r="G306" t="s">
        <v>33</v>
      </c>
      <c r="H306" t="s">
        <v>168</v>
      </c>
      <c r="I306" t="s">
        <v>30</v>
      </c>
      <c r="J306">
        <v>2</v>
      </c>
      <c r="K306">
        <v>32000</v>
      </c>
      <c r="L306">
        <v>0.05</v>
      </c>
      <c r="M306">
        <v>60800</v>
      </c>
      <c r="N306">
        <v>19000</v>
      </c>
      <c r="O306" t="s">
        <v>23</v>
      </c>
      <c r="P306" t="s">
        <v>40</v>
      </c>
      <c r="Q306">
        <f t="shared" si="32"/>
        <v>60800</v>
      </c>
      <c r="R306">
        <f t="shared" si="33"/>
        <v>0</v>
      </c>
      <c r="S306">
        <f t="shared" si="34"/>
        <v>38000</v>
      </c>
      <c r="T306">
        <f t="shared" si="35"/>
        <v>22800</v>
      </c>
      <c r="U306">
        <f t="shared" si="36"/>
        <v>5</v>
      </c>
      <c r="V306" t="b">
        <f t="shared" si="37"/>
        <v>0</v>
      </c>
      <c r="W306">
        <f t="shared" si="38"/>
        <v>11</v>
      </c>
      <c r="X306" t="b">
        <f t="shared" si="39"/>
        <v>0</v>
      </c>
    </row>
    <row r="307" spans="1:24" x14ac:dyDescent="0.35">
      <c r="A307">
        <v>100306</v>
      </c>
      <c r="B307" s="1">
        <v>46095</v>
      </c>
      <c r="C307" t="s">
        <v>55</v>
      </c>
      <c r="D307" t="s">
        <v>56</v>
      </c>
      <c r="E307" t="s">
        <v>43</v>
      </c>
      <c r="F307" t="s">
        <v>44</v>
      </c>
      <c r="G307" t="s">
        <v>60</v>
      </c>
      <c r="H307" t="s">
        <v>217</v>
      </c>
      <c r="I307" t="s">
        <v>22</v>
      </c>
      <c r="J307">
        <v>1</v>
      </c>
      <c r="K307">
        <v>9000</v>
      </c>
      <c r="L307">
        <v>0.15</v>
      </c>
      <c r="M307">
        <v>7650</v>
      </c>
      <c r="N307">
        <v>3500</v>
      </c>
      <c r="O307" t="s">
        <v>23</v>
      </c>
      <c r="P307" t="s">
        <v>84</v>
      </c>
      <c r="Q307">
        <f t="shared" si="32"/>
        <v>7650</v>
      </c>
      <c r="R307">
        <f t="shared" si="33"/>
        <v>0</v>
      </c>
      <c r="S307">
        <f t="shared" si="34"/>
        <v>3500</v>
      </c>
      <c r="T307">
        <f t="shared" si="35"/>
        <v>4150</v>
      </c>
      <c r="U307">
        <f t="shared" si="36"/>
        <v>13</v>
      </c>
      <c r="V307" t="b">
        <f t="shared" si="37"/>
        <v>0</v>
      </c>
      <c r="W307">
        <f t="shared" si="38"/>
        <v>11</v>
      </c>
      <c r="X307" t="b">
        <f t="shared" si="39"/>
        <v>0</v>
      </c>
    </row>
    <row r="308" spans="1:24" x14ac:dyDescent="0.35">
      <c r="A308">
        <v>100307</v>
      </c>
      <c r="B308" s="1">
        <v>46201</v>
      </c>
      <c r="C308" t="s">
        <v>50</v>
      </c>
      <c r="D308" t="s">
        <v>51</v>
      </c>
      <c r="E308" t="s">
        <v>37</v>
      </c>
      <c r="F308" t="s">
        <v>27</v>
      </c>
      <c r="G308" t="s">
        <v>38</v>
      </c>
      <c r="H308" t="s">
        <v>219</v>
      </c>
      <c r="I308" t="s">
        <v>22</v>
      </c>
      <c r="J308">
        <v>3</v>
      </c>
      <c r="K308">
        <v>26000</v>
      </c>
      <c r="L308">
        <v>0</v>
      </c>
      <c r="M308">
        <v>78000</v>
      </c>
      <c r="N308">
        <v>15000</v>
      </c>
      <c r="O308" t="s">
        <v>23</v>
      </c>
      <c r="P308" t="s">
        <v>64</v>
      </c>
      <c r="Q308">
        <f t="shared" si="32"/>
        <v>78000</v>
      </c>
      <c r="R308">
        <f t="shared" si="33"/>
        <v>0</v>
      </c>
      <c r="S308">
        <f t="shared" si="34"/>
        <v>45000</v>
      </c>
      <c r="T308">
        <f t="shared" si="35"/>
        <v>33000</v>
      </c>
      <c r="U308">
        <f t="shared" si="36"/>
        <v>6</v>
      </c>
      <c r="V308" t="b">
        <f t="shared" si="37"/>
        <v>0</v>
      </c>
      <c r="W308">
        <f t="shared" si="38"/>
        <v>11</v>
      </c>
      <c r="X308" t="b">
        <f t="shared" si="39"/>
        <v>0</v>
      </c>
    </row>
    <row r="309" spans="1:24" x14ac:dyDescent="0.35">
      <c r="A309">
        <v>100308</v>
      </c>
      <c r="B309" s="1">
        <v>46238</v>
      </c>
      <c r="C309" t="s">
        <v>42</v>
      </c>
      <c r="D309" t="s">
        <v>26</v>
      </c>
      <c r="E309" t="s">
        <v>37</v>
      </c>
      <c r="F309" t="s">
        <v>19</v>
      </c>
      <c r="G309" t="s">
        <v>52</v>
      </c>
      <c r="H309" t="s">
        <v>163</v>
      </c>
      <c r="I309" t="s">
        <v>30</v>
      </c>
      <c r="J309">
        <v>1</v>
      </c>
      <c r="K309">
        <v>42000</v>
      </c>
      <c r="L309">
        <v>0.05</v>
      </c>
      <c r="M309">
        <v>39900</v>
      </c>
      <c r="N309">
        <v>28000</v>
      </c>
      <c r="O309" t="s">
        <v>23</v>
      </c>
      <c r="P309" t="s">
        <v>84</v>
      </c>
      <c r="Q309">
        <f t="shared" si="32"/>
        <v>39900</v>
      </c>
      <c r="R309">
        <f t="shared" si="33"/>
        <v>0</v>
      </c>
      <c r="S309">
        <f t="shared" si="34"/>
        <v>28000</v>
      </c>
      <c r="T309">
        <f t="shared" si="35"/>
        <v>11900</v>
      </c>
      <c r="U309">
        <f t="shared" si="36"/>
        <v>5</v>
      </c>
      <c r="V309" t="b">
        <f t="shared" si="37"/>
        <v>0</v>
      </c>
      <c r="W309">
        <f t="shared" si="38"/>
        <v>4</v>
      </c>
      <c r="X309" t="b">
        <f t="shared" si="39"/>
        <v>0</v>
      </c>
    </row>
    <row r="310" spans="1:24" x14ac:dyDescent="0.35">
      <c r="A310">
        <v>100309</v>
      </c>
      <c r="B310" s="1">
        <v>46154</v>
      </c>
      <c r="C310" t="s">
        <v>42</v>
      </c>
      <c r="D310" t="s">
        <v>26</v>
      </c>
      <c r="E310" t="s">
        <v>43</v>
      </c>
      <c r="F310" t="s">
        <v>44</v>
      </c>
      <c r="G310" t="s">
        <v>45</v>
      </c>
      <c r="H310" t="s">
        <v>220</v>
      </c>
      <c r="I310" t="s">
        <v>22</v>
      </c>
      <c r="J310">
        <v>3</v>
      </c>
      <c r="K310">
        <v>6500</v>
      </c>
      <c r="L310">
        <v>0.15</v>
      </c>
      <c r="M310">
        <v>16575</v>
      </c>
      <c r="N310">
        <v>2200</v>
      </c>
      <c r="O310" t="s">
        <v>23</v>
      </c>
      <c r="P310" t="s">
        <v>64</v>
      </c>
      <c r="Q310">
        <f t="shared" si="32"/>
        <v>16575</v>
      </c>
      <c r="R310">
        <f t="shared" si="33"/>
        <v>0</v>
      </c>
      <c r="S310">
        <f t="shared" si="34"/>
        <v>6600</v>
      </c>
      <c r="T310">
        <f t="shared" si="35"/>
        <v>9975</v>
      </c>
      <c r="U310">
        <f t="shared" si="36"/>
        <v>5</v>
      </c>
      <c r="V310" t="b">
        <f t="shared" si="37"/>
        <v>0</v>
      </c>
      <c r="W310">
        <f t="shared" si="38"/>
        <v>11</v>
      </c>
      <c r="X310" t="b">
        <f t="shared" si="39"/>
        <v>0</v>
      </c>
    </row>
    <row r="311" spans="1:24" x14ac:dyDescent="0.35">
      <c r="A311">
        <v>100310</v>
      </c>
      <c r="B311" s="1">
        <v>46085</v>
      </c>
      <c r="C311" t="s">
        <v>25</v>
      </c>
      <c r="D311" t="s">
        <v>26</v>
      </c>
      <c r="E311" t="s">
        <v>37</v>
      </c>
      <c r="F311" t="s">
        <v>27</v>
      </c>
      <c r="G311" t="s">
        <v>33</v>
      </c>
      <c r="H311" t="s">
        <v>66</v>
      </c>
      <c r="I311" t="s">
        <v>22</v>
      </c>
      <c r="J311">
        <v>4</v>
      </c>
      <c r="K311">
        <v>32000</v>
      </c>
      <c r="L311">
        <v>0.1</v>
      </c>
      <c r="M311">
        <v>115200</v>
      </c>
      <c r="N311">
        <v>19000</v>
      </c>
      <c r="O311" t="s">
        <v>23</v>
      </c>
      <c r="P311" t="s">
        <v>64</v>
      </c>
      <c r="Q311">
        <f t="shared" si="32"/>
        <v>115200</v>
      </c>
      <c r="R311">
        <f t="shared" si="33"/>
        <v>0</v>
      </c>
      <c r="S311">
        <f t="shared" si="34"/>
        <v>76000</v>
      </c>
      <c r="T311">
        <f t="shared" si="35"/>
        <v>39200</v>
      </c>
      <c r="U311">
        <f t="shared" si="36"/>
        <v>5</v>
      </c>
      <c r="V311" t="b">
        <f t="shared" si="37"/>
        <v>0</v>
      </c>
      <c r="W311">
        <f t="shared" si="38"/>
        <v>11</v>
      </c>
      <c r="X311" t="b">
        <f t="shared" si="39"/>
        <v>0</v>
      </c>
    </row>
    <row r="312" spans="1:24" x14ac:dyDescent="0.35">
      <c r="A312">
        <v>100311</v>
      </c>
      <c r="B312" s="1">
        <v>46175</v>
      </c>
      <c r="C312" t="s">
        <v>32</v>
      </c>
      <c r="D312" t="s">
        <v>17</v>
      </c>
      <c r="E312" t="s">
        <v>37</v>
      </c>
      <c r="F312" t="s">
        <v>44</v>
      </c>
      <c r="G312" t="s">
        <v>45</v>
      </c>
      <c r="H312" t="s">
        <v>128</v>
      </c>
      <c r="I312" t="s">
        <v>30</v>
      </c>
      <c r="J312">
        <v>1</v>
      </c>
      <c r="K312">
        <v>6500</v>
      </c>
      <c r="L312">
        <v>0.05</v>
      </c>
      <c r="M312">
        <v>6175</v>
      </c>
      <c r="N312" s="4">
        <v>2200</v>
      </c>
      <c r="O312" t="s">
        <v>23</v>
      </c>
      <c r="P312" t="s">
        <v>84</v>
      </c>
      <c r="Q312">
        <f t="shared" si="32"/>
        <v>6175</v>
      </c>
      <c r="R312">
        <f t="shared" si="33"/>
        <v>0</v>
      </c>
      <c r="S312">
        <f t="shared" si="34"/>
        <v>2200</v>
      </c>
      <c r="T312">
        <f t="shared" si="35"/>
        <v>3975</v>
      </c>
      <c r="U312">
        <f t="shared" si="36"/>
        <v>5</v>
      </c>
      <c r="V312" t="b">
        <f t="shared" si="37"/>
        <v>0</v>
      </c>
      <c r="W312">
        <f t="shared" si="38"/>
        <v>11</v>
      </c>
      <c r="X312" t="b">
        <f t="shared" si="39"/>
        <v>0</v>
      </c>
    </row>
    <row r="313" spans="1:24" x14ac:dyDescent="0.35">
      <c r="A313">
        <v>100312</v>
      </c>
      <c r="B313" s="1">
        <v>46080</v>
      </c>
      <c r="C313" t="s">
        <v>42</v>
      </c>
      <c r="D313" t="s">
        <v>26</v>
      </c>
      <c r="E313" t="s">
        <v>43</v>
      </c>
      <c r="F313" t="s">
        <v>27</v>
      </c>
      <c r="G313" t="s">
        <v>33</v>
      </c>
      <c r="H313" t="s">
        <v>48</v>
      </c>
      <c r="I313" t="s">
        <v>22</v>
      </c>
      <c r="J313">
        <v>3</v>
      </c>
      <c r="K313">
        <v>32000</v>
      </c>
      <c r="L313">
        <v>0.15</v>
      </c>
      <c r="M313">
        <v>81600</v>
      </c>
      <c r="N313">
        <v>19000</v>
      </c>
      <c r="O313" t="s">
        <v>23</v>
      </c>
      <c r="P313" t="s">
        <v>31</v>
      </c>
      <c r="Q313">
        <f t="shared" si="32"/>
        <v>81600</v>
      </c>
      <c r="R313">
        <f t="shared" si="33"/>
        <v>0</v>
      </c>
      <c r="S313">
        <f t="shared" si="34"/>
        <v>57000</v>
      </c>
      <c r="T313">
        <f t="shared" si="35"/>
        <v>24600</v>
      </c>
      <c r="U313">
        <f t="shared" si="36"/>
        <v>5</v>
      </c>
      <c r="V313" t="b">
        <f t="shared" si="37"/>
        <v>0</v>
      </c>
      <c r="W313">
        <f t="shared" si="38"/>
        <v>11</v>
      </c>
      <c r="X313" t="b">
        <f t="shared" si="39"/>
        <v>0</v>
      </c>
    </row>
    <row r="314" spans="1:24" x14ac:dyDescent="0.35">
      <c r="A314">
        <v>100313</v>
      </c>
      <c r="B314" s="1">
        <v>46241</v>
      </c>
      <c r="C314" t="s">
        <v>25</v>
      </c>
      <c r="D314" t="s">
        <v>222</v>
      </c>
      <c r="E314" t="s">
        <v>43</v>
      </c>
      <c r="F314" t="s">
        <v>44</v>
      </c>
      <c r="G314" t="s">
        <v>45</v>
      </c>
      <c r="H314" t="s">
        <v>146</v>
      </c>
      <c r="I314" t="s">
        <v>30</v>
      </c>
      <c r="J314">
        <v>1</v>
      </c>
      <c r="K314">
        <v>6500</v>
      </c>
      <c r="L314">
        <v>0.05</v>
      </c>
      <c r="M314">
        <v>6175</v>
      </c>
      <c r="N314">
        <v>2200</v>
      </c>
      <c r="O314" t="s">
        <v>23</v>
      </c>
      <c r="P314" t="s">
        <v>58</v>
      </c>
      <c r="Q314">
        <f t="shared" si="32"/>
        <v>6175</v>
      </c>
      <c r="R314">
        <f t="shared" si="33"/>
        <v>0</v>
      </c>
      <c r="S314">
        <f t="shared" si="34"/>
        <v>2200</v>
      </c>
      <c r="T314">
        <f t="shared" si="35"/>
        <v>3975</v>
      </c>
      <c r="U314">
        <f t="shared" si="36"/>
        <v>5</v>
      </c>
      <c r="V314" t="b">
        <f t="shared" si="37"/>
        <v>0</v>
      </c>
      <c r="W314">
        <f t="shared" si="38"/>
        <v>11</v>
      </c>
      <c r="X314" t="b">
        <f t="shared" si="39"/>
        <v>0</v>
      </c>
    </row>
    <row r="315" spans="1:24" x14ac:dyDescent="0.35">
      <c r="A315">
        <v>100314</v>
      </c>
      <c r="B315" s="1">
        <v>46106</v>
      </c>
      <c r="C315" t="s">
        <v>42</v>
      </c>
      <c r="D315" t="s">
        <v>26</v>
      </c>
      <c r="E315" t="s">
        <v>43</v>
      </c>
      <c r="F315" t="s">
        <v>27</v>
      </c>
      <c r="G315" t="s">
        <v>28</v>
      </c>
      <c r="H315" t="s">
        <v>142</v>
      </c>
      <c r="I315" t="s">
        <v>30</v>
      </c>
      <c r="J315">
        <v>1</v>
      </c>
      <c r="K315">
        <v>165000</v>
      </c>
      <c r="L315">
        <v>0.1</v>
      </c>
      <c r="M315">
        <v>148500</v>
      </c>
      <c r="N315">
        <v>112000</v>
      </c>
      <c r="O315" t="s">
        <v>23</v>
      </c>
      <c r="P315" t="s">
        <v>40</v>
      </c>
      <c r="Q315">
        <f t="shared" si="32"/>
        <v>148500</v>
      </c>
      <c r="R315">
        <f t="shared" si="33"/>
        <v>0</v>
      </c>
      <c r="S315">
        <f t="shared" si="34"/>
        <v>112000</v>
      </c>
      <c r="T315">
        <f t="shared" si="35"/>
        <v>36500</v>
      </c>
      <c r="U315">
        <f t="shared" si="36"/>
        <v>5</v>
      </c>
      <c r="V315" t="b">
        <f t="shared" si="37"/>
        <v>0</v>
      </c>
      <c r="W315">
        <f t="shared" si="38"/>
        <v>11</v>
      </c>
      <c r="X315" t="b">
        <f t="shared" si="39"/>
        <v>0</v>
      </c>
    </row>
    <row r="316" spans="1:24" x14ac:dyDescent="0.35">
      <c r="A316">
        <v>100315</v>
      </c>
      <c r="B316" s="1">
        <v>46118</v>
      </c>
      <c r="C316" t="s">
        <v>42</v>
      </c>
      <c r="D316" t="s">
        <v>26</v>
      </c>
      <c r="E316" t="s">
        <v>18</v>
      </c>
      <c r="F316" t="s">
        <v>27</v>
      </c>
      <c r="G316" t="s">
        <v>38</v>
      </c>
      <c r="H316" t="s">
        <v>192</v>
      </c>
      <c r="I316" t="s">
        <v>30</v>
      </c>
      <c r="J316">
        <v>1</v>
      </c>
      <c r="K316">
        <v>26000</v>
      </c>
      <c r="L316">
        <v>0</v>
      </c>
      <c r="M316">
        <v>26000</v>
      </c>
      <c r="N316">
        <v>15000</v>
      </c>
      <c r="O316" t="s">
        <v>23</v>
      </c>
      <c r="P316" t="s">
        <v>24</v>
      </c>
      <c r="Q316">
        <f t="shared" si="32"/>
        <v>26000</v>
      </c>
      <c r="R316">
        <f t="shared" si="33"/>
        <v>0</v>
      </c>
      <c r="S316">
        <f t="shared" si="34"/>
        <v>15000</v>
      </c>
      <c r="T316">
        <f t="shared" si="35"/>
        <v>11000</v>
      </c>
      <c r="U316">
        <f t="shared" si="36"/>
        <v>5</v>
      </c>
      <c r="V316" t="b">
        <f t="shared" si="37"/>
        <v>0</v>
      </c>
      <c r="W316">
        <f t="shared" si="38"/>
        <v>11</v>
      </c>
      <c r="X316" t="b">
        <f t="shared" si="39"/>
        <v>0</v>
      </c>
    </row>
    <row r="317" spans="1:24" x14ac:dyDescent="0.35">
      <c r="A317">
        <v>100316</v>
      </c>
      <c r="B317" s="1">
        <v>46154</v>
      </c>
      <c r="C317" t="s">
        <v>35</v>
      </c>
      <c r="D317" t="s">
        <v>36</v>
      </c>
      <c r="E317" t="s">
        <v>37</v>
      </c>
      <c r="F317" t="s">
        <v>27</v>
      </c>
      <c r="G317" t="s">
        <v>33</v>
      </c>
      <c r="H317" t="s">
        <v>70</v>
      </c>
      <c r="I317" t="s">
        <v>22</v>
      </c>
      <c r="J317">
        <v>5</v>
      </c>
      <c r="K317">
        <v>32000</v>
      </c>
      <c r="L317">
        <v>0</v>
      </c>
      <c r="M317">
        <v>160000</v>
      </c>
      <c r="N317">
        <v>19000</v>
      </c>
      <c r="O317" t="s">
        <v>23</v>
      </c>
      <c r="P317" t="s">
        <v>24</v>
      </c>
      <c r="Q317">
        <f t="shared" si="32"/>
        <v>160000</v>
      </c>
      <c r="R317">
        <f t="shared" si="33"/>
        <v>0</v>
      </c>
      <c r="S317">
        <f t="shared" si="34"/>
        <v>95000</v>
      </c>
      <c r="T317">
        <f t="shared" si="35"/>
        <v>65000</v>
      </c>
      <c r="U317">
        <f t="shared" si="36"/>
        <v>4</v>
      </c>
      <c r="V317" t="b">
        <f t="shared" si="37"/>
        <v>0</v>
      </c>
      <c r="W317">
        <f t="shared" si="38"/>
        <v>11</v>
      </c>
      <c r="X317" t="b">
        <f t="shared" si="39"/>
        <v>0</v>
      </c>
    </row>
    <row r="318" spans="1:24" x14ac:dyDescent="0.35">
      <c r="A318">
        <v>100317</v>
      </c>
      <c r="B318" s="1">
        <v>46212</v>
      </c>
      <c r="C318" t="s">
        <v>50</v>
      </c>
      <c r="D318" t="s">
        <v>51</v>
      </c>
      <c r="E318" t="s">
        <v>43</v>
      </c>
      <c r="F318" t="s">
        <v>19</v>
      </c>
      <c r="G318" t="s">
        <v>62</v>
      </c>
      <c r="H318" t="s">
        <v>219</v>
      </c>
      <c r="I318" t="s">
        <v>30</v>
      </c>
      <c r="J318">
        <v>1</v>
      </c>
      <c r="K318">
        <v>24000</v>
      </c>
      <c r="L318">
        <v>0.05</v>
      </c>
      <c r="M318">
        <v>22800</v>
      </c>
      <c r="N318">
        <v>15000</v>
      </c>
      <c r="O318" t="s">
        <v>23</v>
      </c>
      <c r="P318" t="s">
        <v>31</v>
      </c>
      <c r="Q318">
        <f t="shared" si="32"/>
        <v>22800</v>
      </c>
      <c r="R318">
        <f t="shared" si="33"/>
        <v>0</v>
      </c>
      <c r="S318">
        <f t="shared" si="34"/>
        <v>15000</v>
      </c>
      <c r="T318">
        <f t="shared" si="35"/>
        <v>7800</v>
      </c>
      <c r="U318">
        <f t="shared" si="36"/>
        <v>6</v>
      </c>
      <c r="V318" t="b">
        <f t="shared" si="37"/>
        <v>0</v>
      </c>
      <c r="W318">
        <f t="shared" si="38"/>
        <v>4</v>
      </c>
      <c r="X318" t="b">
        <f t="shared" si="39"/>
        <v>0</v>
      </c>
    </row>
    <row r="319" spans="1:24" x14ac:dyDescent="0.35">
      <c r="A319">
        <v>100318</v>
      </c>
      <c r="B319" s="1">
        <v>46179</v>
      </c>
      <c r="C319" t="s">
        <v>35</v>
      </c>
      <c r="D319" t="s">
        <v>36</v>
      </c>
      <c r="E319" t="s">
        <v>43</v>
      </c>
      <c r="F319" t="s">
        <v>19</v>
      </c>
      <c r="G319" t="s">
        <v>20</v>
      </c>
      <c r="H319" t="s">
        <v>223</v>
      </c>
      <c r="I319" t="s">
        <v>30</v>
      </c>
      <c r="J319">
        <v>2</v>
      </c>
      <c r="K319">
        <v>58000</v>
      </c>
      <c r="L319">
        <v>0.05</v>
      </c>
      <c r="M319">
        <v>110200</v>
      </c>
      <c r="N319">
        <v>39000</v>
      </c>
      <c r="O319" t="s">
        <v>23</v>
      </c>
      <c r="P319" t="s">
        <v>40</v>
      </c>
      <c r="Q319">
        <f t="shared" si="32"/>
        <v>110200</v>
      </c>
      <c r="R319">
        <f t="shared" si="33"/>
        <v>0</v>
      </c>
      <c r="S319">
        <f t="shared" si="34"/>
        <v>78000</v>
      </c>
      <c r="T319">
        <f t="shared" si="35"/>
        <v>32200</v>
      </c>
      <c r="U319">
        <f t="shared" si="36"/>
        <v>4</v>
      </c>
      <c r="V319" t="b">
        <f t="shared" si="37"/>
        <v>0</v>
      </c>
      <c r="W319">
        <f t="shared" si="38"/>
        <v>4</v>
      </c>
      <c r="X319" t="b">
        <f t="shared" si="39"/>
        <v>0</v>
      </c>
    </row>
    <row r="320" spans="1:24" x14ac:dyDescent="0.35">
      <c r="A320">
        <v>100319</v>
      </c>
      <c r="B320" s="1">
        <v>46040</v>
      </c>
      <c r="C320" t="s">
        <v>16</v>
      </c>
      <c r="D320" t="s">
        <v>17</v>
      </c>
      <c r="E320" t="s">
        <v>43</v>
      </c>
      <c r="F320" t="s">
        <v>44</v>
      </c>
      <c r="G320" t="s">
        <v>65</v>
      </c>
      <c r="H320" t="s">
        <v>125</v>
      </c>
      <c r="I320" t="s">
        <v>22</v>
      </c>
      <c r="J320">
        <v>4</v>
      </c>
      <c r="K320">
        <v>28000</v>
      </c>
      <c r="L320">
        <v>0.15</v>
      </c>
      <c r="M320">
        <v>95200</v>
      </c>
      <c r="N320">
        <v>16000</v>
      </c>
      <c r="O320" t="s">
        <v>23</v>
      </c>
      <c r="P320" t="s">
        <v>58</v>
      </c>
      <c r="Q320">
        <f t="shared" si="32"/>
        <v>95200</v>
      </c>
      <c r="R320">
        <f t="shared" si="33"/>
        <v>0</v>
      </c>
      <c r="S320">
        <f t="shared" si="34"/>
        <v>64000</v>
      </c>
      <c r="T320">
        <f t="shared" si="35"/>
        <v>31200</v>
      </c>
      <c r="U320">
        <f t="shared" si="36"/>
        <v>5</v>
      </c>
      <c r="V320" t="b">
        <f t="shared" si="37"/>
        <v>0</v>
      </c>
      <c r="W320">
        <f t="shared" si="38"/>
        <v>11</v>
      </c>
      <c r="X320" t="b">
        <f t="shared" si="39"/>
        <v>0</v>
      </c>
    </row>
    <row r="321" spans="1:24" x14ac:dyDescent="0.35">
      <c r="A321">
        <v>100320</v>
      </c>
      <c r="B321" s="1">
        <v>46093</v>
      </c>
      <c r="C321" t="s">
        <v>32</v>
      </c>
      <c r="D321" t="s">
        <v>17</v>
      </c>
      <c r="E321" t="s">
        <v>43</v>
      </c>
      <c r="F321" t="s">
        <v>27</v>
      </c>
      <c r="G321" t="s">
        <v>33</v>
      </c>
      <c r="H321" t="s">
        <v>68</v>
      </c>
      <c r="I321" t="s">
        <v>30</v>
      </c>
      <c r="J321">
        <v>2</v>
      </c>
      <c r="K321">
        <v>32000</v>
      </c>
      <c r="L321">
        <v>0.2</v>
      </c>
      <c r="M321">
        <v>51200</v>
      </c>
      <c r="N321">
        <v>19000</v>
      </c>
      <c r="O321" t="s">
        <v>23</v>
      </c>
      <c r="P321" t="s">
        <v>54</v>
      </c>
      <c r="Q321">
        <f t="shared" si="32"/>
        <v>51200</v>
      </c>
      <c r="R321">
        <f t="shared" si="33"/>
        <v>0</v>
      </c>
      <c r="S321">
        <f t="shared" si="34"/>
        <v>38000</v>
      </c>
      <c r="T321">
        <f t="shared" si="35"/>
        <v>13200</v>
      </c>
      <c r="U321">
        <f t="shared" si="36"/>
        <v>5</v>
      </c>
      <c r="V321" t="b">
        <f t="shared" si="37"/>
        <v>0</v>
      </c>
      <c r="W321">
        <f t="shared" si="38"/>
        <v>11</v>
      </c>
      <c r="X321" t="b">
        <f t="shared" si="39"/>
        <v>0</v>
      </c>
    </row>
    <row r="322" spans="1:24" x14ac:dyDescent="0.35">
      <c r="A322">
        <v>100321</v>
      </c>
      <c r="B322" s="1">
        <v>46084</v>
      </c>
      <c r="C322" t="s">
        <v>25</v>
      </c>
      <c r="D322" t="s">
        <v>26</v>
      </c>
      <c r="E322" t="s">
        <v>43</v>
      </c>
      <c r="F322" t="s">
        <v>27</v>
      </c>
      <c r="G322" t="s">
        <v>28</v>
      </c>
      <c r="H322" t="s">
        <v>114</v>
      </c>
      <c r="I322" t="s">
        <v>30</v>
      </c>
      <c r="J322">
        <v>2</v>
      </c>
      <c r="K322">
        <v>165000</v>
      </c>
      <c r="L322">
        <v>0</v>
      </c>
      <c r="M322">
        <v>330000</v>
      </c>
      <c r="N322">
        <v>112000</v>
      </c>
      <c r="O322" t="s">
        <v>23</v>
      </c>
      <c r="P322" t="s">
        <v>31</v>
      </c>
      <c r="Q322">
        <f t="shared" ref="Q322:Q385" si="40">J322*K322*(1-L322)</f>
        <v>330000</v>
      </c>
      <c r="R322">
        <f t="shared" ref="R322:R385" si="41">M322-Q322</f>
        <v>0</v>
      </c>
      <c r="S322">
        <f t="shared" si="34"/>
        <v>224000</v>
      </c>
      <c r="T322">
        <f t="shared" si="35"/>
        <v>106000</v>
      </c>
      <c r="U322">
        <f t="shared" si="36"/>
        <v>5</v>
      </c>
      <c r="V322" t="b">
        <f t="shared" si="37"/>
        <v>0</v>
      </c>
      <c r="W322">
        <f t="shared" si="38"/>
        <v>11</v>
      </c>
      <c r="X322" t="b">
        <f t="shared" si="39"/>
        <v>0</v>
      </c>
    </row>
    <row r="323" spans="1:24" x14ac:dyDescent="0.35">
      <c r="A323">
        <v>100322</v>
      </c>
      <c r="B323" s="1">
        <v>46187</v>
      </c>
      <c r="C323" t="s">
        <v>42</v>
      </c>
      <c r="D323" t="s">
        <v>26</v>
      </c>
      <c r="E323" t="s">
        <v>37</v>
      </c>
      <c r="F323" t="s">
        <v>19</v>
      </c>
      <c r="G323" t="s">
        <v>62</v>
      </c>
      <c r="H323" t="s">
        <v>177</v>
      </c>
      <c r="I323" t="s">
        <v>22</v>
      </c>
      <c r="J323">
        <v>1</v>
      </c>
      <c r="K323">
        <v>24000</v>
      </c>
      <c r="L323">
        <v>0.1</v>
      </c>
      <c r="M323">
        <v>21600</v>
      </c>
      <c r="N323">
        <v>15000</v>
      </c>
      <c r="O323" t="s">
        <v>23</v>
      </c>
      <c r="P323" t="s">
        <v>40</v>
      </c>
      <c r="Q323">
        <f t="shared" si="40"/>
        <v>21600</v>
      </c>
      <c r="R323">
        <f t="shared" si="41"/>
        <v>0</v>
      </c>
      <c r="S323">
        <f t="shared" ref="S323:S386" si="42">J323*N323</f>
        <v>15000</v>
      </c>
      <c r="T323">
        <f t="shared" ref="T323:T386" si="43">Q323-S323</f>
        <v>6600</v>
      </c>
      <c r="U323">
        <f t="shared" ref="U323:U386" si="44">LEN(D323)</f>
        <v>5</v>
      </c>
      <c r="V323" t="b">
        <f t="shared" ref="V323:V386" si="45">AND(LEFT(D323,5)="Lagos",LEN(D323)&gt;5)</f>
        <v>0</v>
      </c>
      <c r="W323">
        <f t="shared" ref="W323:W386" si="46">LEN(F323)</f>
        <v>4</v>
      </c>
      <c r="X323" t="b">
        <f t="shared" ref="X323:X386" si="47">AND(LEFT(F323,11)="Accessories",LEN(F323)&gt;11)</f>
        <v>0</v>
      </c>
    </row>
    <row r="324" spans="1:24" x14ac:dyDescent="0.35">
      <c r="A324">
        <v>100323</v>
      </c>
      <c r="B324" s="1">
        <v>46079</v>
      </c>
      <c r="C324" t="s">
        <v>50</v>
      </c>
      <c r="D324" t="s">
        <v>51</v>
      </c>
      <c r="E324" t="s">
        <v>18</v>
      </c>
      <c r="F324" t="s">
        <v>27</v>
      </c>
      <c r="G324" t="s">
        <v>28</v>
      </c>
      <c r="H324" t="s">
        <v>135</v>
      </c>
      <c r="I324" t="s">
        <v>30</v>
      </c>
      <c r="J324">
        <v>2</v>
      </c>
      <c r="K324">
        <v>165000</v>
      </c>
      <c r="L324">
        <v>0</v>
      </c>
      <c r="M324">
        <v>330000</v>
      </c>
      <c r="N324">
        <v>112000</v>
      </c>
      <c r="O324" t="s">
        <v>23</v>
      </c>
      <c r="P324" t="s">
        <v>24</v>
      </c>
      <c r="Q324">
        <f t="shared" si="40"/>
        <v>330000</v>
      </c>
      <c r="R324">
        <f t="shared" si="41"/>
        <v>0</v>
      </c>
      <c r="S324">
        <f t="shared" si="42"/>
        <v>224000</v>
      </c>
      <c r="T324">
        <f t="shared" si="43"/>
        <v>106000</v>
      </c>
      <c r="U324">
        <f t="shared" si="44"/>
        <v>6</v>
      </c>
      <c r="V324" t="b">
        <f t="shared" si="45"/>
        <v>0</v>
      </c>
      <c r="W324">
        <f t="shared" si="46"/>
        <v>11</v>
      </c>
      <c r="X324" t="b">
        <f t="shared" si="47"/>
        <v>0</v>
      </c>
    </row>
    <row r="325" spans="1:24" x14ac:dyDescent="0.35">
      <c r="A325">
        <v>100324</v>
      </c>
      <c r="B325" s="1">
        <v>46038</v>
      </c>
      <c r="C325" t="s">
        <v>50</v>
      </c>
      <c r="D325" t="s">
        <v>51</v>
      </c>
      <c r="E325" t="s">
        <v>43</v>
      </c>
      <c r="F325" t="s">
        <v>27</v>
      </c>
      <c r="G325" t="s">
        <v>28</v>
      </c>
      <c r="H325" t="s">
        <v>204</v>
      </c>
      <c r="I325" t="s">
        <v>22</v>
      </c>
      <c r="J325">
        <v>3</v>
      </c>
      <c r="K325">
        <v>165000</v>
      </c>
      <c r="L325">
        <v>0.1</v>
      </c>
      <c r="M325">
        <v>445500</v>
      </c>
      <c r="N325">
        <v>112000</v>
      </c>
      <c r="O325" t="s">
        <v>23</v>
      </c>
      <c r="P325" t="s">
        <v>58</v>
      </c>
      <c r="Q325">
        <f t="shared" si="40"/>
        <v>445500</v>
      </c>
      <c r="R325">
        <f t="shared" si="41"/>
        <v>0</v>
      </c>
      <c r="S325">
        <f t="shared" si="42"/>
        <v>336000</v>
      </c>
      <c r="T325">
        <f t="shared" si="43"/>
        <v>109500</v>
      </c>
      <c r="U325">
        <f t="shared" si="44"/>
        <v>6</v>
      </c>
      <c r="V325" t="b">
        <f t="shared" si="45"/>
        <v>0</v>
      </c>
      <c r="W325">
        <f t="shared" si="46"/>
        <v>11</v>
      </c>
      <c r="X325" t="b">
        <f t="shared" si="47"/>
        <v>0</v>
      </c>
    </row>
    <row r="326" spans="1:24" x14ac:dyDescent="0.35">
      <c r="A326">
        <v>100325</v>
      </c>
      <c r="B326" s="1">
        <v>46251</v>
      </c>
      <c r="C326" t="s">
        <v>35</v>
      </c>
      <c r="D326" t="s">
        <v>36</v>
      </c>
      <c r="E326" t="s">
        <v>18</v>
      </c>
      <c r="F326" t="s">
        <v>19</v>
      </c>
      <c r="G326" t="s">
        <v>52</v>
      </c>
      <c r="H326" t="s">
        <v>180</v>
      </c>
      <c r="I326" t="s">
        <v>30</v>
      </c>
      <c r="J326">
        <v>3</v>
      </c>
      <c r="K326">
        <v>42000</v>
      </c>
      <c r="L326">
        <v>0.05</v>
      </c>
      <c r="M326">
        <v>119700</v>
      </c>
      <c r="N326">
        <v>28000</v>
      </c>
      <c r="O326" t="s">
        <v>23</v>
      </c>
      <c r="P326" t="s">
        <v>24</v>
      </c>
      <c r="Q326">
        <f t="shared" si="40"/>
        <v>119700</v>
      </c>
      <c r="R326">
        <f t="shared" si="41"/>
        <v>0</v>
      </c>
      <c r="S326">
        <f t="shared" si="42"/>
        <v>84000</v>
      </c>
      <c r="T326">
        <f t="shared" si="43"/>
        <v>35700</v>
      </c>
      <c r="U326">
        <f t="shared" si="44"/>
        <v>4</v>
      </c>
      <c r="V326" t="b">
        <f t="shared" si="45"/>
        <v>0</v>
      </c>
      <c r="W326">
        <f t="shared" si="46"/>
        <v>4</v>
      </c>
      <c r="X326" t="b">
        <f t="shared" si="47"/>
        <v>0</v>
      </c>
    </row>
    <row r="327" spans="1:24" x14ac:dyDescent="0.35">
      <c r="A327">
        <v>100326</v>
      </c>
      <c r="B327" s="1">
        <v>46165</v>
      </c>
      <c r="C327" t="s">
        <v>50</v>
      </c>
      <c r="D327" t="s">
        <v>51</v>
      </c>
      <c r="E327" t="s">
        <v>37</v>
      </c>
      <c r="F327" t="s">
        <v>27</v>
      </c>
      <c r="G327" t="s">
        <v>33</v>
      </c>
      <c r="H327" t="s">
        <v>197</v>
      </c>
      <c r="I327" t="s">
        <v>30</v>
      </c>
      <c r="J327">
        <v>5</v>
      </c>
      <c r="K327">
        <v>32000</v>
      </c>
      <c r="L327">
        <v>0.05</v>
      </c>
      <c r="M327">
        <v>152000</v>
      </c>
      <c r="N327">
        <v>19000</v>
      </c>
      <c r="O327" t="s">
        <v>23</v>
      </c>
      <c r="P327" t="s">
        <v>40</v>
      </c>
      <c r="Q327">
        <f t="shared" si="40"/>
        <v>152000</v>
      </c>
      <c r="R327">
        <f t="shared" si="41"/>
        <v>0</v>
      </c>
      <c r="S327">
        <f t="shared" si="42"/>
        <v>95000</v>
      </c>
      <c r="T327">
        <f t="shared" si="43"/>
        <v>57000</v>
      </c>
      <c r="U327">
        <f t="shared" si="44"/>
        <v>6</v>
      </c>
      <c r="V327" t="b">
        <f t="shared" si="45"/>
        <v>0</v>
      </c>
      <c r="W327">
        <f t="shared" si="46"/>
        <v>11</v>
      </c>
      <c r="X327" t="b">
        <f t="shared" si="47"/>
        <v>0</v>
      </c>
    </row>
    <row r="328" spans="1:24" x14ac:dyDescent="0.35">
      <c r="A328">
        <v>100327</v>
      </c>
      <c r="B328" s="1">
        <v>46141</v>
      </c>
      <c r="C328" t="s">
        <v>42</v>
      </c>
      <c r="D328" t="s">
        <v>26</v>
      </c>
      <c r="E328" t="s">
        <v>43</v>
      </c>
      <c r="F328" t="s">
        <v>27</v>
      </c>
      <c r="G328" t="s">
        <v>38</v>
      </c>
      <c r="H328" t="s">
        <v>68</v>
      </c>
      <c r="I328" t="s">
        <v>22</v>
      </c>
      <c r="J328">
        <v>1</v>
      </c>
      <c r="K328">
        <v>26000</v>
      </c>
      <c r="L328">
        <v>0.1</v>
      </c>
      <c r="M328">
        <v>23400</v>
      </c>
      <c r="N328">
        <v>15000</v>
      </c>
      <c r="O328" t="s">
        <v>23</v>
      </c>
      <c r="P328" t="s">
        <v>31</v>
      </c>
      <c r="Q328">
        <f t="shared" si="40"/>
        <v>23400</v>
      </c>
      <c r="R328">
        <f t="shared" si="41"/>
        <v>0</v>
      </c>
      <c r="S328">
        <f t="shared" si="42"/>
        <v>15000</v>
      </c>
      <c r="T328">
        <f t="shared" si="43"/>
        <v>8400</v>
      </c>
      <c r="U328">
        <f t="shared" si="44"/>
        <v>5</v>
      </c>
      <c r="V328" t="b">
        <f t="shared" si="45"/>
        <v>0</v>
      </c>
      <c r="W328">
        <f t="shared" si="46"/>
        <v>11</v>
      </c>
      <c r="X328" t="b">
        <f t="shared" si="47"/>
        <v>0</v>
      </c>
    </row>
    <row r="329" spans="1:24" x14ac:dyDescent="0.35">
      <c r="A329">
        <v>100328</v>
      </c>
      <c r="B329" s="1">
        <v>46144</v>
      </c>
      <c r="C329" t="s">
        <v>35</v>
      </c>
      <c r="D329" t="s">
        <v>36</v>
      </c>
      <c r="E329" t="s">
        <v>18</v>
      </c>
      <c r="F329" t="s">
        <v>19</v>
      </c>
      <c r="G329" t="s">
        <v>52</v>
      </c>
      <c r="H329" t="s">
        <v>224</v>
      </c>
      <c r="I329" t="s">
        <v>30</v>
      </c>
      <c r="J329">
        <v>1</v>
      </c>
      <c r="K329">
        <v>42000</v>
      </c>
      <c r="L329">
        <v>0.05</v>
      </c>
      <c r="M329">
        <v>39900</v>
      </c>
      <c r="N329">
        <v>28000</v>
      </c>
      <c r="O329" t="s">
        <v>23</v>
      </c>
      <c r="P329" t="s">
        <v>40</v>
      </c>
      <c r="Q329">
        <f t="shared" si="40"/>
        <v>39900</v>
      </c>
      <c r="R329">
        <f t="shared" si="41"/>
        <v>0</v>
      </c>
      <c r="S329">
        <f t="shared" si="42"/>
        <v>28000</v>
      </c>
      <c r="T329">
        <f t="shared" si="43"/>
        <v>11900</v>
      </c>
      <c r="U329">
        <f t="shared" si="44"/>
        <v>4</v>
      </c>
      <c r="V329" t="b">
        <f t="shared" si="45"/>
        <v>0</v>
      </c>
      <c r="W329">
        <f t="shared" si="46"/>
        <v>4</v>
      </c>
      <c r="X329" t="b">
        <f t="shared" si="47"/>
        <v>0</v>
      </c>
    </row>
    <row r="330" spans="1:24" x14ac:dyDescent="0.35">
      <c r="A330">
        <v>100329</v>
      </c>
      <c r="B330" s="1">
        <v>46023</v>
      </c>
      <c r="C330" t="s">
        <v>50</v>
      </c>
      <c r="D330" t="s">
        <v>51</v>
      </c>
      <c r="E330" t="s">
        <v>18</v>
      </c>
      <c r="F330" t="s">
        <v>27</v>
      </c>
      <c r="G330" t="s">
        <v>33</v>
      </c>
      <c r="H330" t="s">
        <v>128</v>
      </c>
      <c r="I330" t="s">
        <v>30</v>
      </c>
      <c r="J330">
        <v>2</v>
      </c>
      <c r="K330">
        <v>32000</v>
      </c>
      <c r="L330">
        <v>0</v>
      </c>
      <c r="M330">
        <v>64000</v>
      </c>
      <c r="N330">
        <v>19000</v>
      </c>
      <c r="O330" t="s">
        <v>76</v>
      </c>
      <c r="P330" t="s">
        <v>54</v>
      </c>
      <c r="Q330">
        <f t="shared" si="40"/>
        <v>64000</v>
      </c>
      <c r="R330">
        <f t="shared" si="41"/>
        <v>0</v>
      </c>
      <c r="S330">
        <f t="shared" si="42"/>
        <v>38000</v>
      </c>
      <c r="T330">
        <f t="shared" si="43"/>
        <v>26000</v>
      </c>
      <c r="U330">
        <f t="shared" si="44"/>
        <v>6</v>
      </c>
      <c r="V330" t="b">
        <f t="shared" si="45"/>
        <v>0</v>
      </c>
      <c r="W330">
        <f t="shared" si="46"/>
        <v>11</v>
      </c>
      <c r="X330" t="b">
        <f t="shared" si="47"/>
        <v>0</v>
      </c>
    </row>
    <row r="331" spans="1:24" x14ac:dyDescent="0.35">
      <c r="A331">
        <v>100330</v>
      </c>
      <c r="B331" s="1">
        <v>46153</v>
      </c>
      <c r="C331" t="s">
        <v>42</v>
      </c>
      <c r="D331" t="s">
        <v>26</v>
      </c>
      <c r="E331" t="s">
        <v>43</v>
      </c>
      <c r="F331" t="s">
        <v>19</v>
      </c>
      <c r="G331" t="s">
        <v>20</v>
      </c>
      <c r="H331" t="s">
        <v>75</v>
      </c>
      <c r="I331" t="s">
        <v>22</v>
      </c>
      <c r="J331">
        <v>2</v>
      </c>
      <c r="K331">
        <v>58000</v>
      </c>
      <c r="L331">
        <v>0.1</v>
      </c>
      <c r="M331">
        <v>104400</v>
      </c>
      <c r="N331">
        <v>39000</v>
      </c>
      <c r="O331" t="s">
        <v>23</v>
      </c>
      <c r="P331" t="s">
        <v>58</v>
      </c>
      <c r="Q331">
        <f t="shared" si="40"/>
        <v>104400</v>
      </c>
      <c r="R331">
        <f t="shared" si="41"/>
        <v>0</v>
      </c>
      <c r="S331">
        <f t="shared" si="42"/>
        <v>78000</v>
      </c>
      <c r="T331">
        <f t="shared" si="43"/>
        <v>26400</v>
      </c>
      <c r="U331">
        <f t="shared" si="44"/>
        <v>5</v>
      </c>
      <c r="V331" t="b">
        <f t="shared" si="45"/>
        <v>0</v>
      </c>
      <c r="W331">
        <f t="shared" si="46"/>
        <v>4</v>
      </c>
      <c r="X331" t="b">
        <f t="shared" si="47"/>
        <v>0</v>
      </c>
    </row>
    <row r="332" spans="1:24" x14ac:dyDescent="0.35">
      <c r="A332">
        <v>100331</v>
      </c>
      <c r="B332" s="1">
        <v>46070</v>
      </c>
      <c r="C332" t="s">
        <v>35</v>
      </c>
      <c r="D332" t="s">
        <v>36</v>
      </c>
      <c r="E332" t="s">
        <v>37</v>
      </c>
      <c r="F332" t="s">
        <v>44</v>
      </c>
      <c r="G332" t="s">
        <v>60</v>
      </c>
      <c r="H332" t="s">
        <v>93</v>
      </c>
      <c r="I332" t="s">
        <v>30</v>
      </c>
      <c r="J332">
        <v>1</v>
      </c>
      <c r="K332">
        <v>9000</v>
      </c>
      <c r="L332">
        <v>0.05</v>
      </c>
      <c r="M332">
        <v>8550</v>
      </c>
      <c r="N332">
        <v>3500</v>
      </c>
      <c r="O332" t="s">
        <v>23</v>
      </c>
      <c r="P332" t="s">
        <v>24</v>
      </c>
      <c r="Q332">
        <f t="shared" si="40"/>
        <v>8550</v>
      </c>
      <c r="R332">
        <f t="shared" si="41"/>
        <v>0</v>
      </c>
      <c r="S332">
        <f t="shared" si="42"/>
        <v>3500</v>
      </c>
      <c r="T332">
        <f t="shared" si="43"/>
        <v>5050</v>
      </c>
      <c r="U332">
        <f t="shared" si="44"/>
        <v>4</v>
      </c>
      <c r="V332" t="b">
        <f t="shared" si="45"/>
        <v>0</v>
      </c>
      <c r="W332">
        <f t="shared" si="46"/>
        <v>11</v>
      </c>
      <c r="X332" t="b">
        <f t="shared" si="47"/>
        <v>0</v>
      </c>
    </row>
    <row r="333" spans="1:24" x14ac:dyDescent="0.35">
      <c r="A333">
        <v>100332</v>
      </c>
      <c r="B333" s="1">
        <v>46100</v>
      </c>
      <c r="C333" t="s">
        <v>32</v>
      </c>
      <c r="D333" t="s">
        <v>17</v>
      </c>
      <c r="E333" t="s">
        <v>43</v>
      </c>
      <c r="F333" t="s">
        <v>27</v>
      </c>
      <c r="G333" t="s">
        <v>33</v>
      </c>
      <c r="H333" t="s">
        <v>118</v>
      </c>
      <c r="I333" t="s">
        <v>22</v>
      </c>
      <c r="J333">
        <v>1</v>
      </c>
      <c r="K333">
        <v>32000</v>
      </c>
      <c r="L333">
        <v>0.05</v>
      </c>
      <c r="M333">
        <v>30400</v>
      </c>
      <c r="N333">
        <v>19000</v>
      </c>
      <c r="O333" t="s">
        <v>23</v>
      </c>
      <c r="P333" t="s">
        <v>58</v>
      </c>
      <c r="Q333">
        <f t="shared" si="40"/>
        <v>30400</v>
      </c>
      <c r="R333">
        <f t="shared" si="41"/>
        <v>0</v>
      </c>
      <c r="S333">
        <f t="shared" si="42"/>
        <v>19000</v>
      </c>
      <c r="T333">
        <f t="shared" si="43"/>
        <v>11400</v>
      </c>
      <c r="U333">
        <f t="shared" si="44"/>
        <v>5</v>
      </c>
      <c r="V333" t="b">
        <f t="shared" si="45"/>
        <v>0</v>
      </c>
      <c r="W333">
        <f t="shared" si="46"/>
        <v>11</v>
      </c>
      <c r="X333" t="b">
        <f t="shared" si="47"/>
        <v>0</v>
      </c>
    </row>
    <row r="334" spans="1:24" x14ac:dyDescent="0.35">
      <c r="A334">
        <v>100333</v>
      </c>
      <c r="B334" s="1">
        <v>46027</v>
      </c>
      <c r="C334" t="s">
        <v>32</v>
      </c>
      <c r="D334" t="s">
        <v>17</v>
      </c>
      <c r="E334" t="s">
        <v>37</v>
      </c>
      <c r="F334" t="s">
        <v>27</v>
      </c>
      <c r="G334" t="s">
        <v>33</v>
      </c>
      <c r="H334" t="s">
        <v>94</v>
      </c>
      <c r="I334" t="s">
        <v>22</v>
      </c>
      <c r="J334">
        <v>5</v>
      </c>
      <c r="K334">
        <v>32000</v>
      </c>
      <c r="L334">
        <v>0.1</v>
      </c>
      <c r="M334">
        <v>144000</v>
      </c>
      <c r="N334">
        <v>19000</v>
      </c>
      <c r="O334" t="s">
        <v>23</v>
      </c>
      <c r="P334" t="s">
        <v>40</v>
      </c>
      <c r="Q334">
        <f t="shared" si="40"/>
        <v>144000</v>
      </c>
      <c r="R334">
        <f t="shared" si="41"/>
        <v>0</v>
      </c>
      <c r="S334">
        <f t="shared" si="42"/>
        <v>95000</v>
      </c>
      <c r="T334">
        <f t="shared" si="43"/>
        <v>49000</v>
      </c>
      <c r="U334">
        <f t="shared" si="44"/>
        <v>5</v>
      </c>
      <c r="V334" t="b">
        <f t="shared" si="45"/>
        <v>0</v>
      </c>
      <c r="W334">
        <f t="shared" si="46"/>
        <v>11</v>
      </c>
      <c r="X334" t="b">
        <f t="shared" si="47"/>
        <v>0</v>
      </c>
    </row>
    <row r="335" spans="1:24" x14ac:dyDescent="0.35">
      <c r="A335">
        <v>100334</v>
      </c>
      <c r="B335" s="1">
        <v>46219</v>
      </c>
      <c r="C335" t="s">
        <v>25</v>
      </c>
      <c r="D335" t="s">
        <v>26</v>
      </c>
      <c r="E335" t="s">
        <v>43</v>
      </c>
      <c r="F335" t="s">
        <v>44</v>
      </c>
      <c r="G335" t="s">
        <v>60</v>
      </c>
      <c r="H335" t="s">
        <v>224</v>
      </c>
      <c r="I335" t="s">
        <v>30</v>
      </c>
      <c r="J335">
        <v>1</v>
      </c>
      <c r="K335">
        <v>9000</v>
      </c>
      <c r="L335">
        <v>0</v>
      </c>
      <c r="M335">
        <v>9000</v>
      </c>
      <c r="N335">
        <v>3500</v>
      </c>
      <c r="O335" t="s">
        <v>23</v>
      </c>
      <c r="P335" t="s">
        <v>40</v>
      </c>
      <c r="Q335">
        <f t="shared" si="40"/>
        <v>9000</v>
      </c>
      <c r="R335">
        <f t="shared" si="41"/>
        <v>0</v>
      </c>
      <c r="S335">
        <f t="shared" si="42"/>
        <v>3500</v>
      </c>
      <c r="T335">
        <f t="shared" si="43"/>
        <v>5500</v>
      </c>
      <c r="U335">
        <f t="shared" si="44"/>
        <v>5</v>
      </c>
      <c r="V335" t="b">
        <f t="shared" si="45"/>
        <v>0</v>
      </c>
      <c r="W335">
        <f t="shared" si="46"/>
        <v>11</v>
      </c>
      <c r="X335" t="b">
        <f t="shared" si="47"/>
        <v>0</v>
      </c>
    </row>
    <row r="336" spans="1:24" x14ac:dyDescent="0.35">
      <c r="A336">
        <v>100335</v>
      </c>
      <c r="B336" s="1">
        <v>46026</v>
      </c>
      <c r="C336" t="s">
        <v>50</v>
      </c>
      <c r="D336" t="s">
        <v>51</v>
      </c>
      <c r="E336" t="s">
        <v>37</v>
      </c>
      <c r="F336" t="s">
        <v>27</v>
      </c>
      <c r="G336" t="s">
        <v>33</v>
      </c>
      <c r="H336" t="s">
        <v>168</v>
      </c>
      <c r="I336" t="s">
        <v>22</v>
      </c>
      <c r="J336">
        <v>1</v>
      </c>
      <c r="K336">
        <v>32000</v>
      </c>
      <c r="L336">
        <v>0.1</v>
      </c>
      <c r="M336">
        <v>28800</v>
      </c>
      <c r="N336">
        <v>19000</v>
      </c>
      <c r="O336" t="s">
        <v>23</v>
      </c>
      <c r="P336" t="s">
        <v>84</v>
      </c>
      <c r="Q336">
        <f t="shared" si="40"/>
        <v>28800</v>
      </c>
      <c r="R336">
        <f t="shared" si="41"/>
        <v>0</v>
      </c>
      <c r="S336">
        <f t="shared" si="42"/>
        <v>19000</v>
      </c>
      <c r="T336">
        <f t="shared" si="43"/>
        <v>9800</v>
      </c>
      <c r="U336">
        <f t="shared" si="44"/>
        <v>6</v>
      </c>
      <c r="V336" t="b">
        <f t="shared" si="45"/>
        <v>0</v>
      </c>
      <c r="W336">
        <f t="shared" si="46"/>
        <v>11</v>
      </c>
      <c r="X336" t="b">
        <f t="shared" si="47"/>
        <v>0</v>
      </c>
    </row>
    <row r="337" spans="1:24" x14ac:dyDescent="0.35">
      <c r="A337">
        <v>100336</v>
      </c>
      <c r="B337" s="1">
        <v>46085</v>
      </c>
      <c r="C337" t="s">
        <v>50</v>
      </c>
      <c r="D337" t="s">
        <v>51</v>
      </c>
      <c r="E337" t="s">
        <v>18</v>
      </c>
      <c r="F337" t="s">
        <v>27</v>
      </c>
      <c r="G337" t="s">
        <v>28</v>
      </c>
      <c r="H337" t="s">
        <v>225</v>
      </c>
      <c r="I337" t="s">
        <v>30</v>
      </c>
      <c r="J337">
        <v>2</v>
      </c>
      <c r="K337">
        <v>165000</v>
      </c>
      <c r="L337">
        <v>0.15</v>
      </c>
      <c r="M337">
        <v>280500</v>
      </c>
      <c r="N337">
        <v>112000</v>
      </c>
      <c r="O337" t="s">
        <v>23</v>
      </c>
      <c r="P337" t="s">
        <v>54</v>
      </c>
      <c r="Q337">
        <f t="shared" si="40"/>
        <v>280500</v>
      </c>
      <c r="R337">
        <f t="shared" si="41"/>
        <v>0</v>
      </c>
      <c r="S337">
        <f t="shared" si="42"/>
        <v>224000</v>
      </c>
      <c r="T337">
        <f t="shared" si="43"/>
        <v>56500</v>
      </c>
      <c r="U337">
        <f t="shared" si="44"/>
        <v>6</v>
      </c>
      <c r="V337" t="b">
        <f t="shared" si="45"/>
        <v>0</v>
      </c>
      <c r="W337">
        <f t="shared" si="46"/>
        <v>11</v>
      </c>
      <c r="X337" t="b">
        <f t="shared" si="47"/>
        <v>0</v>
      </c>
    </row>
    <row r="338" spans="1:24" x14ac:dyDescent="0.35">
      <c r="A338">
        <v>100337</v>
      </c>
      <c r="B338" s="1">
        <v>46085</v>
      </c>
      <c r="C338" t="s">
        <v>35</v>
      </c>
      <c r="D338" t="s">
        <v>36</v>
      </c>
      <c r="E338" t="s">
        <v>43</v>
      </c>
      <c r="F338" t="s">
        <v>44</v>
      </c>
      <c r="G338" t="s">
        <v>45</v>
      </c>
      <c r="H338" t="s">
        <v>121</v>
      </c>
      <c r="I338" t="s">
        <v>22</v>
      </c>
      <c r="J338">
        <v>3</v>
      </c>
      <c r="K338">
        <v>6500</v>
      </c>
      <c r="L338">
        <v>0.15</v>
      </c>
      <c r="M338">
        <v>16575</v>
      </c>
      <c r="N338">
        <v>2200</v>
      </c>
      <c r="O338" t="s">
        <v>23</v>
      </c>
      <c r="P338" t="s">
        <v>24</v>
      </c>
      <c r="Q338">
        <f t="shared" si="40"/>
        <v>16575</v>
      </c>
      <c r="R338">
        <f t="shared" si="41"/>
        <v>0</v>
      </c>
      <c r="S338">
        <f t="shared" si="42"/>
        <v>6600</v>
      </c>
      <c r="T338">
        <f t="shared" si="43"/>
        <v>9975</v>
      </c>
      <c r="U338">
        <f t="shared" si="44"/>
        <v>4</v>
      </c>
      <c r="V338" t="b">
        <f t="shared" si="45"/>
        <v>0</v>
      </c>
      <c r="W338">
        <f t="shared" si="46"/>
        <v>11</v>
      </c>
      <c r="X338" t="b">
        <f t="shared" si="47"/>
        <v>0</v>
      </c>
    </row>
    <row r="339" spans="1:24" x14ac:dyDescent="0.35">
      <c r="A339">
        <v>100338</v>
      </c>
      <c r="B339" s="1">
        <v>46112</v>
      </c>
      <c r="C339" t="s">
        <v>25</v>
      </c>
      <c r="D339" t="s">
        <v>26</v>
      </c>
      <c r="E339" t="s">
        <v>43</v>
      </c>
      <c r="F339" t="s">
        <v>19</v>
      </c>
      <c r="G339" t="s">
        <v>62</v>
      </c>
      <c r="H339" t="s">
        <v>108</v>
      </c>
      <c r="I339" t="s">
        <v>22</v>
      </c>
      <c r="J339">
        <v>2</v>
      </c>
      <c r="K339">
        <v>24000</v>
      </c>
      <c r="L339">
        <v>0.15</v>
      </c>
      <c r="M339">
        <v>40800</v>
      </c>
      <c r="N339">
        <v>15000</v>
      </c>
      <c r="O339" t="s">
        <v>23</v>
      </c>
      <c r="P339" t="s">
        <v>84</v>
      </c>
      <c r="Q339">
        <f t="shared" si="40"/>
        <v>40800</v>
      </c>
      <c r="R339">
        <f t="shared" si="41"/>
        <v>0</v>
      </c>
      <c r="S339">
        <f t="shared" si="42"/>
        <v>30000</v>
      </c>
      <c r="T339">
        <f t="shared" si="43"/>
        <v>10800</v>
      </c>
      <c r="U339">
        <f t="shared" si="44"/>
        <v>5</v>
      </c>
      <c r="V339" t="b">
        <f t="shared" si="45"/>
        <v>0</v>
      </c>
      <c r="W339">
        <f t="shared" si="46"/>
        <v>4</v>
      </c>
      <c r="X339" t="b">
        <f t="shared" si="47"/>
        <v>0</v>
      </c>
    </row>
    <row r="340" spans="1:24" x14ac:dyDescent="0.35">
      <c r="A340">
        <v>100339</v>
      </c>
      <c r="B340" s="1">
        <v>46057</v>
      </c>
      <c r="C340" t="s">
        <v>25</v>
      </c>
      <c r="D340" t="s">
        <v>26</v>
      </c>
      <c r="E340" t="s">
        <v>43</v>
      </c>
      <c r="F340" t="s">
        <v>27</v>
      </c>
      <c r="G340" t="s">
        <v>38</v>
      </c>
      <c r="H340" t="s">
        <v>199</v>
      </c>
      <c r="I340" t="s">
        <v>22</v>
      </c>
      <c r="J340">
        <v>2</v>
      </c>
      <c r="K340">
        <v>26000</v>
      </c>
      <c r="L340">
        <v>0.05</v>
      </c>
      <c r="M340">
        <v>49400</v>
      </c>
      <c r="N340">
        <v>15000</v>
      </c>
      <c r="O340" t="s">
        <v>23</v>
      </c>
      <c r="P340" t="s">
        <v>40</v>
      </c>
      <c r="Q340">
        <f t="shared" si="40"/>
        <v>49400</v>
      </c>
      <c r="R340">
        <f t="shared" si="41"/>
        <v>0</v>
      </c>
      <c r="S340">
        <f t="shared" si="42"/>
        <v>30000</v>
      </c>
      <c r="T340">
        <f t="shared" si="43"/>
        <v>19400</v>
      </c>
      <c r="U340">
        <f t="shared" si="44"/>
        <v>5</v>
      </c>
      <c r="V340" t="b">
        <f t="shared" si="45"/>
        <v>0</v>
      </c>
      <c r="W340">
        <f t="shared" si="46"/>
        <v>11</v>
      </c>
      <c r="X340" t="b">
        <f t="shared" si="47"/>
        <v>0</v>
      </c>
    </row>
    <row r="341" spans="1:24" x14ac:dyDescent="0.35">
      <c r="A341">
        <v>100340</v>
      </c>
      <c r="B341" s="1">
        <v>46106</v>
      </c>
      <c r="C341" t="s">
        <v>32</v>
      </c>
      <c r="D341" t="s">
        <v>17</v>
      </c>
      <c r="E341" t="s">
        <v>37</v>
      </c>
      <c r="F341" t="s">
        <v>27</v>
      </c>
      <c r="G341" t="s">
        <v>28</v>
      </c>
      <c r="H341" t="s">
        <v>61</v>
      </c>
      <c r="I341" t="s">
        <v>30</v>
      </c>
      <c r="J341">
        <v>1</v>
      </c>
      <c r="K341">
        <v>165000</v>
      </c>
      <c r="L341">
        <v>0.15</v>
      </c>
      <c r="M341">
        <v>140250</v>
      </c>
      <c r="N341">
        <v>112000</v>
      </c>
      <c r="O341" t="s">
        <v>23</v>
      </c>
      <c r="P341" t="s">
        <v>64</v>
      </c>
      <c r="Q341">
        <f t="shared" si="40"/>
        <v>140250</v>
      </c>
      <c r="R341">
        <f t="shared" si="41"/>
        <v>0</v>
      </c>
      <c r="S341">
        <f t="shared" si="42"/>
        <v>112000</v>
      </c>
      <c r="T341">
        <f t="shared" si="43"/>
        <v>28250</v>
      </c>
      <c r="U341">
        <f t="shared" si="44"/>
        <v>5</v>
      </c>
      <c r="V341" t="b">
        <f t="shared" si="45"/>
        <v>0</v>
      </c>
      <c r="W341">
        <f t="shared" si="46"/>
        <v>11</v>
      </c>
      <c r="X341" t="b">
        <f t="shared" si="47"/>
        <v>0</v>
      </c>
    </row>
    <row r="342" spans="1:24" x14ac:dyDescent="0.35">
      <c r="A342">
        <v>100341</v>
      </c>
      <c r="B342" s="1">
        <v>46181</v>
      </c>
      <c r="C342" t="s">
        <v>25</v>
      </c>
      <c r="D342" t="s">
        <v>26</v>
      </c>
      <c r="E342" t="s">
        <v>43</v>
      </c>
      <c r="F342" t="s">
        <v>27</v>
      </c>
      <c r="G342" t="s">
        <v>28</v>
      </c>
      <c r="H342" t="s">
        <v>226</v>
      </c>
      <c r="I342" t="s">
        <v>30</v>
      </c>
      <c r="J342">
        <v>3</v>
      </c>
      <c r="K342">
        <v>165000</v>
      </c>
      <c r="L342">
        <v>0</v>
      </c>
      <c r="M342">
        <v>495000</v>
      </c>
      <c r="N342">
        <v>112000</v>
      </c>
      <c r="O342" t="s">
        <v>23</v>
      </c>
      <c r="P342" t="s">
        <v>24</v>
      </c>
      <c r="Q342">
        <f t="shared" si="40"/>
        <v>495000</v>
      </c>
      <c r="R342">
        <f t="shared" si="41"/>
        <v>0</v>
      </c>
      <c r="S342">
        <f t="shared" si="42"/>
        <v>336000</v>
      </c>
      <c r="T342">
        <f t="shared" si="43"/>
        <v>159000</v>
      </c>
      <c r="U342">
        <f t="shared" si="44"/>
        <v>5</v>
      </c>
      <c r="V342" t="b">
        <f t="shared" si="45"/>
        <v>0</v>
      </c>
      <c r="W342">
        <f t="shared" si="46"/>
        <v>11</v>
      </c>
      <c r="X342" t="b">
        <f t="shared" si="47"/>
        <v>0</v>
      </c>
    </row>
    <row r="343" spans="1:24" x14ac:dyDescent="0.35">
      <c r="A343">
        <v>100342</v>
      </c>
      <c r="B343" s="1">
        <v>46053</v>
      </c>
      <c r="C343" t="s">
        <v>32</v>
      </c>
      <c r="D343" t="s">
        <v>17</v>
      </c>
      <c r="E343" t="s">
        <v>43</v>
      </c>
      <c r="F343" t="s">
        <v>27</v>
      </c>
      <c r="G343" t="s">
        <v>33</v>
      </c>
      <c r="H343" t="s">
        <v>205</v>
      </c>
      <c r="I343" t="s">
        <v>30</v>
      </c>
      <c r="J343">
        <v>4</v>
      </c>
      <c r="K343">
        <v>32000</v>
      </c>
      <c r="L343">
        <v>0</v>
      </c>
      <c r="M343">
        <v>128000</v>
      </c>
      <c r="N343">
        <v>19000</v>
      </c>
      <c r="O343" t="s">
        <v>23</v>
      </c>
      <c r="P343" t="s">
        <v>64</v>
      </c>
      <c r="Q343">
        <f t="shared" si="40"/>
        <v>128000</v>
      </c>
      <c r="R343">
        <f t="shared" si="41"/>
        <v>0</v>
      </c>
      <c r="S343">
        <f t="shared" si="42"/>
        <v>76000</v>
      </c>
      <c r="T343">
        <f t="shared" si="43"/>
        <v>52000</v>
      </c>
      <c r="U343">
        <f t="shared" si="44"/>
        <v>5</v>
      </c>
      <c r="V343" t="b">
        <f t="shared" si="45"/>
        <v>0</v>
      </c>
      <c r="W343">
        <f t="shared" si="46"/>
        <v>11</v>
      </c>
      <c r="X343" t="b">
        <f t="shared" si="47"/>
        <v>0</v>
      </c>
    </row>
    <row r="344" spans="1:24" x14ac:dyDescent="0.35">
      <c r="A344">
        <v>100343</v>
      </c>
      <c r="B344" s="1">
        <v>46217</v>
      </c>
      <c r="C344" t="s">
        <v>35</v>
      </c>
      <c r="D344" t="s">
        <v>36</v>
      </c>
      <c r="E344" t="s">
        <v>43</v>
      </c>
      <c r="F344" t="s">
        <v>27</v>
      </c>
      <c r="G344" t="s">
        <v>28</v>
      </c>
      <c r="H344" t="s">
        <v>182</v>
      </c>
      <c r="I344" t="s">
        <v>30</v>
      </c>
      <c r="J344">
        <v>4</v>
      </c>
      <c r="K344">
        <v>165000</v>
      </c>
      <c r="L344">
        <v>0</v>
      </c>
      <c r="M344">
        <v>660000</v>
      </c>
      <c r="N344">
        <v>112000</v>
      </c>
      <c r="O344" t="s">
        <v>76</v>
      </c>
      <c r="P344" t="s">
        <v>54</v>
      </c>
      <c r="Q344">
        <f t="shared" si="40"/>
        <v>660000</v>
      </c>
      <c r="R344">
        <f t="shared" si="41"/>
        <v>0</v>
      </c>
      <c r="S344">
        <f t="shared" si="42"/>
        <v>448000</v>
      </c>
      <c r="T344">
        <f t="shared" si="43"/>
        <v>212000</v>
      </c>
      <c r="U344">
        <f t="shared" si="44"/>
        <v>4</v>
      </c>
      <c r="V344" t="b">
        <f t="shared" si="45"/>
        <v>0</v>
      </c>
      <c r="W344">
        <f t="shared" si="46"/>
        <v>11</v>
      </c>
      <c r="X344" t="b">
        <f t="shared" si="47"/>
        <v>0</v>
      </c>
    </row>
    <row r="345" spans="1:24" x14ac:dyDescent="0.35">
      <c r="A345">
        <v>100344</v>
      </c>
      <c r="B345" s="1">
        <v>46253</v>
      </c>
      <c r="C345" t="s">
        <v>50</v>
      </c>
      <c r="D345" t="s">
        <v>51</v>
      </c>
      <c r="E345" t="s">
        <v>37</v>
      </c>
      <c r="F345" t="s">
        <v>19</v>
      </c>
      <c r="G345" t="s">
        <v>62</v>
      </c>
      <c r="H345" t="s">
        <v>126</v>
      </c>
      <c r="I345" t="s">
        <v>22</v>
      </c>
      <c r="J345">
        <v>2</v>
      </c>
      <c r="K345">
        <v>24000</v>
      </c>
      <c r="L345">
        <v>0.1</v>
      </c>
      <c r="M345">
        <v>43200</v>
      </c>
      <c r="N345">
        <v>15000</v>
      </c>
      <c r="O345" t="s">
        <v>23</v>
      </c>
      <c r="P345" t="s">
        <v>47</v>
      </c>
      <c r="Q345">
        <f t="shared" si="40"/>
        <v>43200</v>
      </c>
      <c r="R345">
        <f t="shared" si="41"/>
        <v>0</v>
      </c>
      <c r="S345">
        <f t="shared" si="42"/>
        <v>30000</v>
      </c>
      <c r="T345">
        <f t="shared" si="43"/>
        <v>13200</v>
      </c>
      <c r="U345">
        <f t="shared" si="44"/>
        <v>6</v>
      </c>
      <c r="V345" t="b">
        <f t="shared" si="45"/>
        <v>0</v>
      </c>
      <c r="W345">
        <f t="shared" si="46"/>
        <v>4</v>
      </c>
      <c r="X345" t="b">
        <f t="shared" si="47"/>
        <v>0</v>
      </c>
    </row>
    <row r="346" spans="1:24" x14ac:dyDescent="0.35">
      <c r="A346">
        <v>100345</v>
      </c>
      <c r="B346" s="1">
        <v>46038</v>
      </c>
      <c r="C346" t="s">
        <v>25</v>
      </c>
      <c r="D346" t="s">
        <v>26</v>
      </c>
      <c r="E346" t="s">
        <v>43</v>
      </c>
      <c r="F346" t="s">
        <v>19</v>
      </c>
      <c r="G346" t="s">
        <v>20</v>
      </c>
      <c r="H346" t="s">
        <v>69</v>
      </c>
      <c r="I346" t="s">
        <v>30</v>
      </c>
      <c r="J346">
        <v>2</v>
      </c>
      <c r="K346">
        <v>58000</v>
      </c>
      <c r="L346">
        <v>0.15</v>
      </c>
      <c r="M346">
        <v>98600</v>
      </c>
      <c r="N346">
        <v>39000</v>
      </c>
      <c r="O346" t="s">
        <v>23</v>
      </c>
      <c r="P346" t="s">
        <v>24</v>
      </c>
      <c r="Q346">
        <f t="shared" si="40"/>
        <v>98600</v>
      </c>
      <c r="R346">
        <f t="shared" si="41"/>
        <v>0</v>
      </c>
      <c r="S346">
        <f t="shared" si="42"/>
        <v>78000</v>
      </c>
      <c r="T346">
        <f t="shared" si="43"/>
        <v>20600</v>
      </c>
      <c r="U346">
        <f t="shared" si="44"/>
        <v>5</v>
      </c>
      <c r="V346" t="b">
        <f t="shared" si="45"/>
        <v>0</v>
      </c>
      <c r="W346">
        <f t="shared" si="46"/>
        <v>4</v>
      </c>
      <c r="X346" t="b">
        <f t="shared" si="47"/>
        <v>0</v>
      </c>
    </row>
    <row r="347" spans="1:24" x14ac:dyDescent="0.35">
      <c r="A347">
        <v>100346</v>
      </c>
      <c r="B347" s="1">
        <v>46065</v>
      </c>
      <c r="C347" t="s">
        <v>32</v>
      </c>
      <c r="D347" t="s">
        <v>17</v>
      </c>
      <c r="E347" t="s">
        <v>43</v>
      </c>
      <c r="F347" t="s">
        <v>44</v>
      </c>
      <c r="G347" t="s">
        <v>60</v>
      </c>
      <c r="H347" t="s">
        <v>203</v>
      </c>
      <c r="I347" t="s">
        <v>30</v>
      </c>
      <c r="J347">
        <v>2</v>
      </c>
      <c r="K347">
        <v>9000</v>
      </c>
      <c r="L347">
        <v>0.15</v>
      </c>
      <c r="M347">
        <v>15300</v>
      </c>
      <c r="N347">
        <v>3500</v>
      </c>
      <c r="O347" t="s">
        <v>23</v>
      </c>
      <c r="P347" t="s">
        <v>64</v>
      </c>
      <c r="Q347">
        <f t="shared" si="40"/>
        <v>15300</v>
      </c>
      <c r="R347">
        <f t="shared" si="41"/>
        <v>0</v>
      </c>
      <c r="S347">
        <f t="shared" si="42"/>
        <v>7000</v>
      </c>
      <c r="T347">
        <f t="shared" si="43"/>
        <v>8300</v>
      </c>
      <c r="U347">
        <f t="shared" si="44"/>
        <v>5</v>
      </c>
      <c r="V347" t="b">
        <f t="shared" si="45"/>
        <v>0</v>
      </c>
      <c r="W347">
        <f t="shared" si="46"/>
        <v>11</v>
      </c>
      <c r="X347" t="b">
        <f t="shared" si="47"/>
        <v>0</v>
      </c>
    </row>
    <row r="348" spans="1:24" x14ac:dyDescent="0.35">
      <c r="A348">
        <v>100347</v>
      </c>
      <c r="B348" s="1">
        <v>46074</v>
      </c>
      <c r="C348" t="s">
        <v>35</v>
      </c>
      <c r="D348" t="s">
        <v>36</v>
      </c>
      <c r="E348" t="s">
        <v>43</v>
      </c>
      <c r="F348" t="s">
        <v>27</v>
      </c>
      <c r="G348" t="s">
        <v>33</v>
      </c>
      <c r="H348" t="s">
        <v>227</v>
      </c>
      <c r="I348" t="s">
        <v>30</v>
      </c>
      <c r="J348">
        <v>3</v>
      </c>
      <c r="K348">
        <v>32000</v>
      </c>
      <c r="L348">
        <v>0</v>
      </c>
      <c r="M348">
        <v>96000</v>
      </c>
      <c r="N348">
        <v>19000</v>
      </c>
      <c r="O348" t="s">
        <v>23</v>
      </c>
      <c r="P348" t="s">
        <v>24</v>
      </c>
      <c r="Q348">
        <f t="shared" si="40"/>
        <v>96000</v>
      </c>
      <c r="R348">
        <f t="shared" si="41"/>
        <v>0</v>
      </c>
      <c r="S348">
        <f t="shared" si="42"/>
        <v>57000</v>
      </c>
      <c r="T348">
        <f t="shared" si="43"/>
        <v>39000</v>
      </c>
      <c r="U348">
        <f t="shared" si="44"/>
        <v>4</v>
      </c>
      <c r="V348" t="b">
        <f t="shared" si="45"/>
        <v>0</v>
      </c>
      <c r="W348">
        <f t="shared" si="46"/>
        <v>11</v>
      </c>
      <c r="X348" t="b">
        <f t="shared" si="47"/>
        <v>0</v>
      </c>
    </row>
    <row r="349" spans="1:24" x14ac:dyDescent="0.35">
      <c r="A349">
        <v>100348</v>
      </c>
      <c r="B349" s="1">
        <v>46225</v>
      </c>
      <c r="C349" t="s">
        <v>35</v>
      </c>
      <c r="D349" t="s">
        <v>36</v>
      </c>
      <c r="E349" t="s">
        <v>43</v>
      </c>
      <c r="F349" t="s">
        <v>19</v>
      </c>
      <c r="G349" t="s">
        <v>62</v>
      </c>
      <c r="H349" t="s">
        <v>171</v>
      </c>
      <c r="I349" t="s">
        <v>30</v>
      </c>
      <c r="J349">
        <v>5</v>
      </c>
      <c r="K349">
        <v>24000</v>
      </c>
      <c r="L349">
        <v>0.05</v>
      </c>
      <c r="M349">
        <v>114000</v>
      </c>
      <c r="N349">
        <v>15000</v>
      </c>
      <c r="O349" t="s">
        <v>23</v>
      </c>
      <c r="P349" t="s">
        <v>24</v>
      </c>
      <c r="Q349">
        <f t="shared" si="40"/>
        <v>114000</v>
      </c>
      <c r="R349">
        <f t="shared" si="41"/>
        <v>0</v>
      </c>
      <c r="S349">
        <f t="shared" si="42"/>
        <v>75000</v>
      </c>
      <c r="T349">
        <f t="shared" si="43"/>
        <v>39000</v>
      </c>
      <c r="U349">
        <f t="shared" si="44"/>
        <v>4</v>
      </c>
      <c r="V349" t="b">
        <f t="shared" si="45"/>
        <v>0</v>
      </c>
      <c r="W349">
        <f t="shared" si="46"/>
        <v>4</v>
      </c>
      <c r="X349" t="b">
        <f t="shared" si="47"/>
        <v>0</v>
      </c>
    </row>
    <row r="350" spans="1:24" x14ac:dyDescent="0.35">
      <c r="A350">
        <v>100349</v>
      </c>
      <c r="B350" s="1">
        <v>46141</v>
      </c>
      <c r="C350" t="s">
        <v>50</v>
      </c>
      <c r="D350" t="s">
        <v>51</v>
      </c>
      <c r="E350" t="s">
        <v>43</v>
      </c>
      <c r="F350" t="s">
        <v>27</v>
      </c>
      <c r="G350" t="s">
        <v>33</v>
      </c>
      <c r="H350" t="s">
        <v>130</v>
      </c>
      <c r="I350" t="s">
        <v>30</v>
      </c>
      <c r="J350">
        <v>2</v>
      </c>
      <c r="K350">
        <v>32000</v>
      </c>
      <c r="L350">
        <v>0.15</v>
      </c>
      <c r="M350">
        <v>54400</v>
      </c>
      <c r="N350">
        <v>19000</v>
      </c>
      <c r="O350" t="s">
        <v>23</v>
      </c>
      <c r="P350" t="s">
        <v>84</v>
      </c>
      <c r="Q350">
        <f t="shared" si="40"/>
        <v>54400</v>
      </c>
      <c r="R350">
        <f t="shared" si="41"/>
        <v>0</v>
      </c>
      <c r="S350">
        <f t="shared" si="42"/>
        <v>38000</v>
      </c>
      <c r="T350">
        <f t="shared" si="43"/>
        <v>16400</v>
      </c>
      <c r="U350">
        <f t="shared" si="44"/>
        <v>6</v>
      </c>
      <c r="V350" t="b">
        <f t="shared" si="45"/>
        <v>0</v>
      </c>
      <c r="W350">
        <f t="shared" si="46"/>
        <v>11</v>
      </c>
      <c r="X350" t="b">
        <f t="shared" si="47"/>
        <v>0</v>
      </c>
    </row>
    <row r="351" spans="1:24" x14ac:dyDescent="0.35">
      <c r="A351">
        <v>100350</v>
      </c>
      <c r="B351" s="1">
        <v>46170</v>
      </c>
      <c r="C351" t="s">
        <v>25</v>
      </c>
      <c r="D351" t="s">
        <v>26</v>
      </c>
      <c r="E351" t="s">
        <v>43</v>
      </c>
      <c r="F351" t="s">
        <v>19</v>
      </c>
      <c r="G351" t="s">
        <v>52</v>
      </c>
      <c r="H351" t="s">
        <v>141</v>
      </c>
      <c r="I351" t="s">
        <v>22</v>
      </c>
      <c r="J351">
        <v>3</v>
      </c>
      <c r="K351">
        <v>42000</v>
      </c>
      <c r="L351">
        <v>0.15</v>
      </c>
      <c r="M351">
        <v>96390</v>
      </c>
      <c r="N351">
        <v>28000</v>
      </c>
      <c r="O351" t="s">
        <v>23</v>
      </c>
      <c r="P351" t="s">
        <v>54</v>
      </c>
      <c r="Q351">
        <f t="shared" si="40"/>
        <v>107100</v>
      </c>
      <c r="R351">
        <f t="shared" si="41"/>
        <v>-10710</v>
      </c>
      <c r="S351">
        <f t="shared" si="42"/>
        <v>84000</v>
      </c>
      <c r="T351">
        <f t="shared" si="43"/>
        <v>23100</v>
      </c>
      <c r="U351">
        <f t="shared" si="44"/>
        <v>5</v>
      </c>
      <c r="V351" t="b">
        <f t="shared" si="45"/>
        <v>0</v>
      </c>
      <c r="W351">
        <f t="shared" si="46"/>
        <v>4</v>
      </c>
      <c r="X351" t="b">
        <f t="shared" si="47"/>
        <v>0</v>
      </c>
    </row>
    <row r="352" spans="1:24" x14ac:dyDescent="0.35">
      <c r="A352">
        <v>100351</v>
      </c>
      <c r="B352" s="1">
        <v>46040</v>
      </c>
      <c r="C352" t="s">
        <v>35</v>
      </c>
      <c r="D352" t="s">
        <v>36</v>
      </c>
      <c r="E352" t="s">
        <v>43</v>
      </c>
      <c r="F352" t="s">
        <v>27</v>
      </c>
      <c r="G352" t="s">
        <v>33</v>
      </c>
      <c r="H352" t="s">
        <v>34</v>
      </c>
      <c r="I352" t="s">
        <v>22</v>
      </c>
      <c r="J352">
        <v>2</v>
      </c>
      <c r="K352">
        <v>32000</v>
      </c>
      <c r="L352">
        <v>0.1</v>
      </c>
      <c r="M352">
        <v>57600</v>
      </c>
      <c r="N352">
        <v>19000</v>
      </c>
      <c r="O352" t="s">
        <v>23</v>
      </c>
      <c r="P352" t="s">
        <v>47</v>
      </c>
      <c r="Q352">
        <f t="shared" si="40"/>
        <v>57600</v>
      </c>
      <c r="R352">
        <f t="shared" si="41"/>
        <v>0</v>
      </c>
      <c r="S352">
        <f t="shared" si="42"/>
        <v>38000</v>
      </c>
      <c r="T352">
        <f t="shared" si="43"/>
        <v>19600</v>
      </c>
      <c r="U352">
        <f t="shared" si="44"/>
        <v>4</v>
      </c>
      <c r="V352" t="b">
        <f t="shared" si="45"/>
        <v>0</v>
      </c>
      <c r="W352">
        <f t="shared" si="46"/>
        <v>11</v>
      </c>
      <c r="X352" t="b">
        <f t="shared" si="47"/>
        <v>0</v>
      </c>
    </row>
    <row r="353" spans="1:24" x14ac:dyDescent="0.35">
      <c r="A353">
        <v>100352</v>
      </c>
      <c r="B353" s="1">
        <v>46134</v>
      </c>
      <c r="C353" t="s">
        <v>25</v>
      </c>
      <c r="D353" t="s">
        <v>26</v>
      </c>
      <c r="E353" t="s">
        <v>37</v>
      </c>
      <c r="F353" t="s">
        <v>27</v>
      </c>
      <c r="G353" t="s">
        <v>33</v>
      </c>
      <c r="H353" t="s">
        <v>82</v>
      </c>
      <c r="I353" t="s">
        <v>22</v>
      </c>
      <c r="J353">
        <v>2</v>
      </c>
      <c r="K353">
        <v>32000</v>
      </c>
      <c r="L353">
        <v>0.15</v>
      </c>
      <c r="M353">
        <v>54400</v>
      </c>
      <c r="N353">
        <v>19000</v>
      </c>
      <c r="O353" t="s">
        <v>23</v>
      </c>
      <c r="P353" t="s">
        <v>47</v>
      </c>
      <c r="Q353">
        <f t="shared" si="40"/>
        <v>54400</v>
      </c>
      <c r="R353">
        <f t="shared" si="41"/>
        <v>0</v>
      </c>
      <c r="S353">
        <f t="shared" si="42"/>
        <v>38000</v>
      </c>
      <c r="T353">
        <f t="shared" si="43"/>
        <v>16400</v>
      </c>
      <c r="U353">
        <f t="shared" si="44"/>
        <v>5</v>
      </c>
      <c r="V353" t="b">
        <f t="shared" si="45"/>
        <v>0</v>
      </c>
      <c r="W353">
        <f t="shared" si="46"/>
        <v>11</v>
      </c>
      <c r="X353" t="b">
        <f t="shared" si="47"/>
        <v>0</v>
      </c>
    </row>
    <row r="354" spans="1:24" x14ac:dyDescent="0.35">
      <c r="A354">
        <v>100353</v>
      </c>
      <c r="B354" s="1">
        <v>46203</v>
      </c>
      <c r="C354" t="s">
        <v>32</v>
      </c>
      <c r="D354" t="s">
        <v>17</v>
      </c>
      <c r="E354" t="s">
        <v>37</v>
      </c>
      <c r="F354" t="s">
        <v>44</v>
      </c>
      <c r="G354" t="s">
        <v>65</v>
      </c>
      <c r="H354" t="s">
        <v>145</v>
      </c>
      <c r="I354" t="s">
        <v>22</v>
      </c>
      <c r="J354">
        <v>1</v>
      </c>
      <c r="K354">
        <v>28000</v>
      </c>
      <c r="L354">
        <v>0.15</v>
      </c>
      <c r="M354">
        <v>23800</v>
      </c>
      <c r="N354">
        <v>16000</v>
      </c>
      <c r="O354" t="s">
        <v>23</v>
      </c>
      <c r="P354" t="s">
        <v>47</v>
      </c>
      <c r="Q354">
        <f t="shared" si="40"/>
        <v>23800</v>
      </c>
      <c r="R354">
        <f t="shared" si="41"/>
        <v>0</v>
      </c>
      <c r="S354">
        <f t="shared" si="42"/>
        <v>16000</v>
      </c>
      <c r="T354">
        <f t="shared" si="43"/>
        <v>7800</v>
      </c>
      <c r="U354">
        <f t="shared" si="44"/>
        <v>5</v>
      </c>
      <c r="V354" t="b">
        <f t="shared" si="45"/>
        <v>0</v>
      </c>
      <c r="W354">
        <f t="shared" si="46"/>
        <v>11</v>
      </c>
      <c r="X354" t="b">
        <f t="shared" si="47"/>
        <v>0</v>
      </c>
    </row>
    <row r="355" spans="1:24" x14ac:dyDescent="0.35">
      <c r="A355">
        <v>100354</v>
      </c>
      <c r="B355" s="1">
        <v>46037</v>
      </c>
      <c r="C355" t="s">
        <v>50</v>
      </c>
      <c r="D355" t="s">
        <v>51</v>
      </c>
      <c r="E355" t="s">
        <v>37</v>
      </c>
      <c r="F355" t="s">
        <v>44</v>
      </c>
      <c r="G355" t="s">
        <v>60</v>
      </c>
      <c r="H355" t="s">
        <v>148</v>
      </c>
      <c r="I355" t="s">
        <v>30</v>
      </c>
      <c r="J355">
        <v>1</v>
      </c>
      <c r="K355">
        <v>9000</v>
      </c>
      <c r="L355">
        <v>0.15</v>
      </c>
      <c r="M355">
        <v>7650</v>
      </c>
      <c r="N355">
        <v>3500</v>
      </c>
      <c r="O355" t="s">
        <v>23</v>
      </c>
      <c r="P355" t="s">
        <v>54</v>
      </c>
      <c r="Q355">
        <f t="shared" si="40"/>
        <v>7650</v>
      </c>
      <c r="R355">
        <f t="shared" si="41"/>
        <v>0</v>
      </c>
      <c r="S355">
        <f t="shared" si="42"/>
        <v>3500</v>
      </c>
      <c r="T355">
        <f t="shared" si="43"/>
        <v>4150</v>
      </c>
      <c r="U355">
        <f t="shared" si="44"/>
        <v>6</v>
      </c>
      <c r="V355" t="b">
        <f t="shared" si="45"/>
        <v>0</v>
      </c>
      <c r="W355">
        <f t="shared" si="46"/>
        <v>11</v>
      </c>
      <c r="X355" t="b">
        <f t="shared" si="47"/>
        <v>0</v>
      </c>
    </row>
    <row r="356" spans="1:24" x14ac:dyDescent="0.35">
      <c r="A356">
        <v>100355</v>
      </c>
      <c r="B356" s="1">
        <v>46099</v>
      </c>
      <c r="C356" t="s">
        <v>42</v>
      </c>
      <c r="D356" t="s">
        <v>26</v>
      </c>
      <c r="E356" t="s">
        <v>37</v>
      </c>
      <c r="F356" t="s">
        <v>19</v>
      </c>
      <c r="G356" t="s">
        <v>52</v>
      </c>
      <c r="H356" t="s">
        <v>228</v>
      </c>
      <c r="I356" t="s">
        <v>30</v>
      </c>
      <c r="J356">
        <v>18</v>
      </c>
      <c r="K356">
        <v>42000</v>
      </c>
      <c r="L356">
        <v>0.1</v>
      </c>
      <c r="M356">
        <v>680400</v>
      </c>
      <c r="N356">
        <v>28000</v>
      </c>
      <c r="O356" t="s">
        <v>23</v>
      </c>
      <c r="P356" t="s">
        <v>31</v>
      </c>
      <c r="Q356">
        <f t="shared" si="40"/>
        <v>680400</v>
      </c>
      <c r="R356">
        <f t="shared" si="41"/>
        <v>0</v>
      </c>
      <c r="S356">
        <f t="shared" si="42"/>
        <v>504000</v>
      </c>
      <c r="T356">
        <f t="shared" si="43"/>
        <v>176400</v>
      </c>
      <c r="U356">
        <f t="shared" si="44"/>
        <v>5</v>
      </c>
      <c r="V356" t="b">
        <f t="shared" si="45"/>
        <v>0</v>
      </c>
      <c r="W356">
        <f t="shared" si="46"/>
        <v>4</v>
      </c>
      <c r="X356" t="b">
        <f t="shared" si="47"/>
        <v>0</v>
      </c>
    </row>
    <row r="357" spans="1:24" x14ac:dyDescent="0.35">
      <c r="A357">
        <v>100356</v>
      </c>
      <c r="B357" s="1">
        <v>46116</v>
      </c>
      <c r="C357" t="s">
        <v>50</v>
      </c>
      <c r="D357" t="s">
        <v>51</v>
      </c>
      <c r="E357" t="s">
        <v>37</v>
      </c>
      <c r="F357" t="s">
        <v>19</v>
      </c>
      <c r="G357" t="s">
        <v>20</v>
      </c>
      <c r="H357" t="s">
        <v>192</v>
      </c>
      <c r="I357" t="s">
        <v>30</v>
      </c>
      <c r="J357">
        <v>4</v>
      </c>
      <c r="K357">
        <v>58000</v>
      </c>
      <c r="L357">
        <v>0</v>
      </c>
      <c r="M357">
        <v>232000</v>
      </c>
      <c r="N357">
        <v>39000</v>
      </c>
      <c r="O357" t="s">
        <v>23</v>
      </c>
      <c r="P357" t="s">
        <v>47</v>
      </c>
      <c r="Q357">
        <f t="shared" si="40"/>
        <v>232000</v>
      </c>
      <c r="R357">
        <f t="shared" si="41"/>
        <v>0</v>
      </c>
      <c r="S357">
        <f t="shared" si="42"/>
        <v>156000</v>
      </c>
      <c r="T357">
        <f t="shared" si="43"/>
        <v>76000</v>
      </c>
      <c r="U357">
        <f t="shared" si="44"/>
        <v>6</v>
      </c>
      <c r="V357" t="b">
        <f t="shared" si="45"/>
        <v>0</v>
      </c>
      <c r="W357">
        <f t="shared" si="46"/>
        <v>4</v>
      </c>
      <c r="X357" t="b">
        <f t="shared" si="47"/>
        <v>0</v>
      </c>
    </row>
    <row r="358" spans="1:24" x14ac:dyDescent="0.35">
      <c r="A358">
        <v>100357</v>
      </c>
      <c r="B358" s="1">
        <v>46226</v>
      </c>
      <c r="C358" t="s">
        <v>16</v>
      </c>
      <c r="D358" t="s">
        <v>17</v>
      </c>
      <c r="E358" t="s">
        <v>43</v>
      </c>
      <c r="F358" t="s">
        <v>27</v>
      </c>
      <c r="G358" t="s">
        <v>38</v>
      </c>
      <c r="H358" t="s">
        <v>203</v>
      </c>
      <c r="I358" t="s">
        <v>30</v>
      </c>
      <c r="J358">
        <v>1</v>
      </c>
      <c r="K358">
        <v>26000</v>
      </c>
      <c r="L358">
        <v>0.2</v>
      </c>
      <c r="M358">
        <v>20800</v>
      </c>
      <c r="N358">
        <v>15000</v>
      </c>
      <c r="O358" t="s">
        <v>23</v>
      </c>
      <c r="P358" t="s">
        <v>58</v>
      </c>
      <c r="Q358">
        <f t="shared" si="40"/>
        <v>20800</v>
      </c>
      <c r="R358">
        <f t="shared" si="41"/>
        <v>0</v>
      </c>
      <c r="S358">
        <f t="shared" si="42"/>
        <v>15000</v>
      </c>
      <c r="T358">
        <f t="shared" si="43"/>
        <v>5800</v>
      </c>
      <c r="U358">
        <f t="shared" si="44"/>
        <v>5</v>
      </c>
      <c r="V358" t="b">
        <f t="shared" si="45"/>
        <v>0</v>
      </c>
      <c r="W358">
        <f t="shared" si="46"/>
        <v>11</v>
      </c>
      <c r="X358" t="b">
        <f t="shared" si="47"/>
        <v>0</v>
      </c>
    </row>
    <row r="359" spans="1:24" x14ac:dyDescent="0.35">
      <c r="A359">
        <v>100358</v>
      </c>
      <c r="B359" s="1">
        <v>46151</v>
      </c>
      <c r="C359" t="s">
        <v>16</v>
      </c>
      <c r="D359" t="s">
        <v>17</v>
      </c>
      <c r="E359" t="s">
        <v>37</v>
      </c>
      <c r="F359" t="s">
        <v>27</v>
      </c>
      <c r="G359" t="s">
        <v>38</v>
      </c>
      <c r="H359" t="s">
        <v>116</v>
      </c>
      <c r="I359" t="s">
        <v>30</v>
      </c>
      <c r="J359">
        <v>2</v>
      </c>
      <c r="K359">
        <v>26000</v>
      </c>
      <c r="L359">
        <v>0.1</v>
      </c>
      <c r="M359">
        <v>46800</v>
      </c>
      <c r="N359">
        <v>15000</v>
      </c>
      <c r="O359" t="s">
        <v>76</v>
      </c>
      <c r="P359" t="s">
        <v>47</v>
      </c>
      <c r="Q359">
        <f t="shared" si="40"/>
        <v>46800</v>
      </c>
      <c r="R359">
        <f t="shared" si="41"/>
        <v>0</v>
      </c>
      <c r="S359">
        <f t="shared" si="42"/>
        <v>30000</v>
      </c>
      <c r="T359">
        <f t="shared" si="43"/>
        <v>16800</v>
      </c>
      <c r="U359">
        <f t="shared" si="44"/>
        <v>5</v>
      </c>
      <c r="V359" t="b">
        <f t="shared" si="45"/>
        <v>0</v>
      </c>
      <c r="W359">
        <f t="shared" si="46"/>
        <v>11</v>
      </c>
      <c r="X359" t="b">
        <f t="shared" si="47"/>
        <v>0</v>
      </c>
    </row>
    <row r="360" spans="1:24" x14ac:dyDescent="0.35">
      <c r="A360">
        <v>100359</v>
      </c>
      <c r="B360" s="1">
        <v>46246</v>
      </c>
      <c r="C360" t="s">
        <v>16</v>
      </c>
      <c r="D360" t="s">
        <v>17</v>
      </c>
      <c r="E360" t="s">
        <v>37</v>
      </c>
      <c r="F360" t="s">
        <v>44</v>
      </c>
      <c r="G360" t="s">
        <v>65</v>
      </c>
      <c r="H360" t="s">
        <v>229</v>
      </c>
      <c r="I360" t="s">
        <v>22</v>
      </c>
      <c r="J360">
        <v>1</v>
      </c>
      <c r="K360">
        <v>28000</v>
      </c>
      <c r="L360">
        <v>0</v>
      </c>
      <c r="M360">
        <v>28000</v>
      </c>
      <c r="N360">
        <v>16000</v>
      </c>
      <c r="O360" t="s">
        <v>23</v>
      </c>
      <c r="P360" t="s">
        <v>54</v>
      </c>
      <c r="Q360">
        <f t="shared" si="40"/>
        <v>28000</v>
      </c>
      <c r="R360">
        <f t="shared" si="41"/>
        <v>0</v>
      </c>
      <c r="S360">
        <f t="shared" si="42"/>
        <v>16000</v>
      </c>
      <c r="T360">
        <f t="shared" si="43"/>
        <v>12000</v>
      </c>
      <c r="U360">
        <f t="shared" si="44"/>
        <v>5</v>
      </c>
      <c r="V360" t="b">
        <f t="shared" si="45"/>
        <v>0</v>
      </c>
      <c r="W360">
        <f t="shared" si="46"/>
        <v>11</v>
      </c>
      <c r="X360" t="b">
        <f t="shared" si="47"/>
        <v>0</v>
      </c>
    </row>
    <row r="361" spans="1:24" x14ac:dyDescent="0.35">
      <c r="A361">
        <v>100360</v>
      </c>
      <c r="B361" s="1">
        <v>46204</v>
      </c>
      <c r="C361" t="s">
        <v>35</v>
      </c>
      <c r="D361" t="s">
        <v>36</v>
      </c>
      <c r="E361" t="s">
        <v>37</v>
      </c>
      <c r="F361" t="s">
        <v>19</v>
      </c>
      <c r="G361" t="s">
        <v>52</v>
      </c>
      <c r="H361" t="s">
        <v>170</v>
      </c>
      <c r="I361" t="s">
        <v>30</v>
      </c>
      <c r="J361">
        <v>1</v>
      </c>
      <c r="K361">
        <v>42000</v>
      </c>
      <c r="L361">
        <v>0.15</v>
      </c>
      <c r="M361">
        <v>35700</v>
      </c>
      <c r="N361">
        <v>28000</v>
      </c>
      <c r="O361" t="s">
        <v>23</v>
      </c>
      <c r="P361" t="s">
        <v>31</v>
      </c>
      <c r="Q361">
        <f t="shared" si="40"/>
        <v>35700</v>
      </c>
      <c r="R361">
        <f t="shared" si="41"/>
        <v>0</v>
      </c>
      <c r="S361">
        <f t="shared" si="42"/>
        <v>28000</v>
      </c>
      <c r="T361">
        <f t="shared" si="43"/>
        <v>7700</v>
      </c>
      <c r="U361">
        <f t="shared" si="44"/>
        <v>4</v>
      </c>
      <c r="V361" t="b">
        <f t="shared" si="45"/>
        <v>0</v>
      </c>
      <c r="W361">
        <f t="shared" si="46"/>
        <v>4</v>
      </c>
      <c r="X361" t="b">
        <f t="shared" si="47"/>
        <v>0</v>
      </c>
    </row>
    <row r="362" spans="1:24" x14ac:dyDescent="0.35">
      <c r="A362">
        <v>100361</v>
      </c>
      <c r="B362" s="1">
        <v>46028</v>
      </c>
      <c r="C362" t="s">
        <v>50</v>
      </c>
      <c r="D362" t="s">
        <v>51</v>
      </c>
      <c r="E362" t="s">
        <v>37</v>
      </c>
      <c r="F362" t="s">
        <v>44</v>
      </c>
      <c r="G362" t="s">
        <v>45</v>
      </c>
      <c r="H362" t="s">
        <v>230</v>
      </c>
      <c r="I362" t="s">
        <v>22</v>
      </c>
      <c r="J362">
        <v>2</v>
      </c>
      <c r="K362">
        <v>6500</v>
      </c>
      <c r="L362">
        <v>0.05</v>
      </c>
      <c r="M362">
        <v>12350</v>
      </c>
      <c r="N362">
        <v>2200</v>
      </c>
      <c r="O362" t="s">
        <v>23</v>
      </c>
      <c r="P362" t="s">
        <v>84</v>
      </c>
      <c r="Q362">
        <f t="shared" si="40"/>
        <v>12350</v>
      </c>
      <c r="R362">
        <f t="shared" si="41"/>
        <v>0</v>
      </c>
      <c r="S362">
        <f t="shared" si="42"/>
        <v>4400</v>
      </c>
      <c r="T362">
        <f t="shared" si="43"/>
        <v>7950</v>
      </c>
      <c r="U362">
        <f t="shared" si="44"/>
        <v>6</v>
      </c>
      <c r="V362" t="b">
        <f t="shared" si="45"/>
        <v>0</v>
      </c>
      <c r="W362">
        <f t="shared" si="46"/>
        <v>11</v>
      </c>
      <c r="X362" t="b">
        <f t="shared" si="47"/>
        <v>0</v>
      </c>
    </row>
    <row r="363" spans="1:24" x14ac:dyDescent="0.35">
      <c r="A363">
        <v>100362</v>
      </c>
      <c r="B363" s="1">
        <v>46105</v>
      </c>
      <c r="C363" t="s">
        <v>42</v>
      </c>
      <c r="D363" t="s">
        <v>26</v>
      </c>
      <c r="E363" t="s">
        <v>37</v>
      </c>
      <c r="F363" t="s">
        <v>44</v>
      </c>
      <c r="G363" t="s">
        <v>60</v>
      </c>
      <c r="H363" t="s">
        <v>231</v>
      </c>
      <c r="I363" t="s">
        <v>22</v>
      </c>
      <c r="J363">
        <v>4</v>
      </c>
      <c r="K363">
        <v>9000</v>
      </c>
      <c r="L363">
        <v>0.15</v>
      </c>
      <c r="M363">
        <v>30600</v>
      </c>
      <c r="N363">
        <v>3500</v>
      </c>
      <c r="O363" t="s">
        <v>23</v>
      </c>
      <c r="P363" t="s">
        <v>64</v>
      </c>
      <c r="Q363">
        <f t="shared" si="40"/>
        <v>30600</v>
      </c>
      <c r="R363">
        <f t="shared" si="41"/>
        <v>0</v>
      </c>
      <c r="S363">
        <f t="shared" si="42"/>
        <v>14000</v>
      </c>
      <c r="T363">
        <f t="shared" si="43"/>
        <v>16600</v>
      </c>
      <c r="U363">
        <f t="shared" si="44"/>
        <v>5</v>
      </c>
      <c r="V363" t="b">
        <f t="shared" si="45"/>
        <v>0</v>
      </c>
      <c r="W363">
        <f t="shared" si="46"/>
        <v>11</v>
      </c>
      <c r="X363" t="b">
        <f t="shared" si="47"/>
        <v>0</v>
      </c>
    </row>
    <row r="364" spans="1:24" x14ac:dyDescent="0.35">
      <c r="A364">
        <v>100363</v>
      </c>
      <c r="B364" s="1">
        <v>46193</v>
      </c>
      <c r="C364" t="s">
        <v>50</v>
      </c>
      <c r="D364" t="s">
        <v>51</v>
      </c>
      <c r="E364" t="s">
        <v>43</v>
      </c>
      <c r="F364" t="s">
        <v>19</v>
      </c>
      <c r="G364" t="s">
        <v>62</v>
      </c>
      <c r="H364" t="s">
        <v>107</v>
      </c>
      <c r="I364" t="s">
        <v>30</v>
      </c>
      <c r="J364">
        <v>2</v>
      </c>
      <c r="K364">
        <v>24000</v>
      </c>
      <c r="L364">
        <v>0.1</v>
      </c>
      <c r="M364">
        <v>43200</v>
      </c>
      <c r="N364">
        <v>15000</v>
      </c>
      <c r="O364" t="s">
        <v>23</v>
      </c>
      <c r="P364" t="s">
        <v>64</v>
      </c>
      <c r="Q364">
        <f t="shared" si="40"/>
        <v>43200</v>
      </c>
      <c r="R364">
        <f t="shared" si="41"/>
        <v>0</v>
      </c>
      <c r="S364">
        <f t="shared" si="42"/>
        <v>30000</v>
      </c>
      <c r="T364">
        <f t="shared" si="43"/>
        <v>13200</v>
      </c>
      <c r="U364">
        <f t="shared" si="44"/>
        <v>6</v>
      </c>
      <c r="V364" t="b">
        <f t="shared" si="45"/>
        <v>0</v>
      </c>
      <c r="W364">
        <f t="shared" si="46"/>
        <v>4</v>
      </c>
      <c r="X364" t="b">
        <f t="shared" si="47"/>
        <v>0</v>
      </c>
    </row>
    <row r="365" spans="1:24" x14ac:dyDescent="0.35">
      <c r="A365">
        <v>100364</v>
      </c>
      <c r="B365" s="1">
        <v>46226</v>
      </c>
      <c r="C365" t="s">
        <v>32</v>
      </c>
      <c r="D365" t="s">
        <v>17</v>
      </c>
      <c r="E365" t="s">
        <v>43</v>
      </c>
      <c r="F365" t="s">
        <v>19</v>
      </c>
      <c r="G365" t="s">
        <v>62</v>
      </c>
      <c r="H365" t="s">
        <v>232</v>
      </c>
      <c r="I365" t="s">
        <v>30</v>
      </c>
      <c r="J365">
        <v>2</v>
      </c>
      <c r="K365">
        <v>24000</v>
      </c>
      <c r="L365">
        <v>0.25</v>
      </c>
      <c r="M365">
        <v>36000</v>
      </c>
      <c r="N365">
        <v>15000</v>
      </c>
      <c r="O365" t="s">
        <v>76</v>
      </c>
      <c r="P365" t="s">
        <v>54</v>
      </c>
      <c r="Q365">
        <f t="shared" si="40"/>
        <v>36000</v>
      </c>
      <c r="R365">
        <f t="shared" si="41"/>
        <v>0</v>
      </c>
      <c r="S365">
        <f t="shared" si="42"/>
        <v>30000</v>
      </c>
      <c r="T365">
        <f t="shared" si="43"/>
        <v>6000</v>
      </c>
      <c r="U365">
        <f t="shared" si="44"/>
        <v>5</v>
      </c>
      <c r="V365" t="b">
        <f t="shared" si="45"/>
        <v>0</v>
      </c>
      <c r="W365">
        <f t="shared" si="46"/>
        <v>4</v>
      </c>
      <c r="X365" t="b">
        <f t="shared" si="47"/>
        <v>0</v>
      </c>
    </row>
    <row r="366" spans="1:24" x14ac:dyDescent="0.35">
      <c r="A366">
        <v>100365</v>
      </c>
      <c r="B366" s="1">
        <v>46195</v>
      </c>
      <c r="C366" t="s">
        <v>50</v>
      </c>
      <c r="D366" t="s">
        <v>51</v>
      </c>
      <c r="E366" t="s">
        <v>18</v>
      </c>
      <c r="F366" t="s">
        <v>27</v>
      </c>
      <c r="G366" t="s">
        <v>28</v>
      </c>
      <c r="H366" t="s">
        <v>95</v>
      </c>
      <c r="I366" t="s">
        <v>30</v>
      </c>
      <c r="J366">
        <v>4</v>
      </c>
      <c r="K366">
        <v>165000</v>
      </c>
      <c r="L366">
        <v>0.05</v>
      </c>
      <c r="M366">
        <v>627000</v>
      </c>
      <c r="N366">
        <v>112000</v>
      </c>
      <c r="O366" t="s">
        <v>23</v>
      </c>
      <c r="P366" t="s">
        <v>24</v>
      </c>
      <c r="Q366">
        <f t="shared" si="40"/>
        <v>627000</v>
      </c>
      <c r="R366">
        <f t="shared" si="41"/>
        <v>0</v>
      </c>
      <c r="S366">
        <f t="shared" si="42"/>
        <v>448000</v>
      </c>
      <c r="T366">
        <f t="shared" si="43"/>
        <v>179000</v>
      </c>
      <c r="U366">
        <f t="shared" si="44"/>
        <v>6</v>
      </c>
      <c r="V366" t="b">
        <f t="shared" si="45"/>
        <v>0</v>
      </c>
      <c r="W366">
        <f t="shared" si="46"/>
        <v>11</v>
      </c>
      <c r="X366" t="b">
        <f t="shared" si="47"/>
        <v>0</v>
      </c>
    </row>
    <row r="367" spans="1:24" x14ac:dyDescent="0.35">
      <c r="A367">
        <v>100366</v>
      </c>
      <c r="B367" s="1">
        <v>46222</v>
      </c>
      <c r="C367" t="s">
        <v>32</v>
      </c>
      <c r="D367" t="s">
        <v>17</v>
      </c>
      <c r="E367" t="s">
        <v>18</v>
      </c>
      <c r="F367" t="s">
        <v>19</v>
      </c>
      <c r="G367" t="s">
        <v>62</v>
      </c>
      <c r="H367" t="s">
        <v>204</v>
      </c>
      <c r="I367" t="s">
        <v>30</v>
      </c>
      <c r="J367">
        <v>1</v>
      </c>
      <c r="K367">
        <v>24000</v>
      </c>
      <c r="L367">
        <v>0.25</v>
      </c>
      <c r="M367">
        <v>18000</v>
      </c>
      <c r="N367">
        <v>15000</v>
      </c>
      <c r="O367" t="s">
        <v>76</v>
      </c>
      <c r="P367" t="s">
        <v>47</v>
      </c>
      <c r="Q367">
        <f t="shared" si="40"/>
        <v>18000</v>
      </c>
      <c r="R367">
        <f t="shared" si="41"/>
        <v>0</v>
      </c>
      <c r="S367">
        <f t="shared" si="42"/>
        <v>15000</v>
      </c>
      <c r="T367">
        <f t="shared" si="43"/>
        <v>3000</v>
      </c>
      <c r="U367">
        <f t="shared" si="44"/>
        <v>5</v>
      </c>
      <c r="V367" t="b">
        <f t="shared" si="45"/>
        <v>0</v>
      </c>
      <c r="W367">
        <f t="shared" si="46"/>
        <v>4</v>
      </c>
      <c r="X367" t="b">
        <f t="shared" si="47"/>
        <v>0</v>
      </c>
    </row>
    <row r="368" spans="1:24" x14ac:dyDescent="0.35">
      <c r="A368">
        <v>100367</v>
      </c>
      <c r="B368" s="1">
        <v>46225</v>
      </c>
      <c r="C368" t="s">
        <v>35</v>
      </c>
      <c r="D368" t="s">
        <v>36</v>
      </c>
      <c r="E368" t="s">
        <v>43</v>
      </c>
      <c r="F368" t="s">
        <v>44</v>
      </c>
      <c r="G368" t="s">
        <v>60</v>
      </c>
      <c r="H368" t="s">
        <v>106</v>
      </c>
      <c r="I368" t="s">
        <v>30</v>
      </c>
      <c r="J368">
        <v>2</v>
      </c>
      <c r="K368">
        <v>9000</v>
      </c>
      <c r="L368">
        <v>0</v>
      </c>
      <c r="M368">
        <v>18000</v>
      </c>
      <c r="N368">
        <v>3500</v>
      </c>
      <c r="O368" t="s">
        <v>23</v>
      </c>
      <c r="P368" t="s">
        <v>31</v>
      </c>
      <c r="Q368">
        <f t="shared" si="40"/>
        <v>18000</v>
      </c>
      <c r="R368">
        <f t="shared" si="41"/>
        <v>0</v>
      </c>
      <c r="S368">
        <f t="shared" si="42"/>
        <v>7000</v>
      </c>
      <c r="T368">
        <f t="shared" si="43"/>
        <v>11000</v>
      </c>
      <c r="U368">
        <f t="shared" si="44"/>
        <v>4</v>
      </c>
      <c r="V368" t="b">
        <f t="shared" si="45"/>
        <v>0</v>
      </c>
      <c r="W368">
        <f t="shared" si="46"/>
        <v>11</v>
      </c>
      <c r="X368" t="b">
        <f t="shared" si="47"/>
        <v>0</v>
      </c>
    </row>
    <row r="369" spans="1:24" x14ac:dyDescent="0.35">
      <c r="A369">
        <v>100368</v>
      </c>
      <c r="B369" s="1">
        <v>46216</v>
      </c>
      <c r="C369" t="s">
        <v>42</v>
      </c>
      <c r="D369" t="s">
        <v>26</v>
      </c>
      <c r="E369" t="s">
        <v>43</v>
      </c>
      <c r="F369" t="s">
        <v>44</v>
      </c>
      <c r="G369" t="s">
        <v>45</v>
      </c>
      <c r="H369" t="s">
        <v>179</v>
      </c>
      <c r="I369" t="s">
        <v>30</v>
      </c>
      <c r="J369">
        <v>4</v>
      </c>
      <c r="K369">
        <v>6500</v>
      </c>
      <c r="L369">
        <v>0.05</v>
      </c>
      <c r="M369">
        <v>24700</v>
      </c>
      <c r="N369">
        <v>2200</v>
      </c>
      <c r="O369" t="s">
        <v>23</v>
      </c>
      <c r="P369" t="s">
        <v>47</v>
      </c>
      <c r="Q369">
        <f t="shared" si="40"/>
        <v>24700</v>
      </c>
      <c r="R369">
        <f t="shared" si="41"/>
        <v>0</v>
      </c>
      <c r="S369">
        <f t="shared" si="42"/>
        <v>8800</v>
      </c>
      <c r="T369">
        <f t="shared" si="43"/>
        <v>15900</v>
      </c>
      <c r="U369">
        <f t="shared" si="44"/>
        <v>5</v>
      </c>
      <c r="V369" t="b">
        <f t="shared" si="45"/>
        <v>0</v>
      </c>
      <c r="W369">
        <f t="shared" si="46"/>
        <v>11</v>
      </c>
      <c r="X369" t="b">
        <f t="shared" si="47"/>
        <v>0</v>
      </c>
    </row>
    <row r="370" spans="1:24" x14ac:dyDescent="0.35">
      <c r="A370">
        <v>100369</v>
      </c>
      <c r="B370" s="1">
        <v>46193</v>
      </c>
      <c r="C370" t="s">
        <v>35</v>
      </c>
      <c r="D370" t="s">
        <v>36</v>
      </c>
      <c r="E370" t="s">
        <v>18</v>
      </c>
      <c r="F370" t="s">
        <v>27</v>
      </c>
      <c r="G370" t="s">
        <v>38</v>
      </c>
      <c r="H370" t="s">
        <v>179</v>
      </c>
      <c r="I370" t="s">
        <v>30</v>
      </c>
      <c r="J370">
        <v>2</v>
      </c>
      <c r="K370">
        <v>26000</v>
      </c>
      <c r="L370">
        <v>0.05</v>
      </c>
      <c r="M370">
        <v>59280</v>
      </c>
      <c r="N370">
        <v>15000</v>
      </c>
      <c r="O370" t="s">
        <v>23</v>
      </c>
      <c r="P370" t="s">
        <v>47</v>
      </c>
      <c r="Q370">
        <f t="shared" si="40"/>
        <v>49400</v>
      </c>
      <c r="R370">
        <f t="shared" si="41"/>
        <v>9880</v>
      </c>
      <c r="S370">
        <f t="shared" si="42"/>
        <v>30000</v>
      </c>
      <c r="T370">
        <f t="shared" si="43"/>
        <v>19400</v>
      </c>
      <c r="U370">
        <f t="shared" si="44"/>
        <v>4</v>
      </c>
      <c r="V370" t="b">
        <f t="shared" si="45"/>
        <v>0</v>
      </c>
      <c r="W370">
        <f t="shared" si="46"/>
        <v>11</v>
      </c>
      <c r="X370" t="b">
        <f t="shared" si="47"/>
        <v>0</v>
      </c>
    </row>
    <row r="371" spans="1:24" x14ac:dyDescent="0.35">
      <c r="A371">
        <v>100370</v>
      </c>
      <c r="B371" s="1">
        <v>46185</v>
      </c>
      <c r="C371" t="s">
        <v>25</v>
      </c>
      <c r="D371" t="s">
        <v>26</v>
      </c>
      <c r="E371" t="s">
        <v>18</v>
      </c>
      <c r="F371" t="s">
        <v>19</v>
      </c>
      <c r="G371" t="s">
        <v>20</v>
      </c>
      <c r="H371" t="s">
        <v>143</v>
      </c>
      <c r="I371" t="s">
        <v>30</v>
      </c>
      <c r="J371">
        <v>1</v>
      </c>
      <c r="K371">
        <v>58000</v>
      </c>
      <c r="L371">
        <v>0.1</v>
      </c>
      <c r="M371">
        <v>52200</v>
      </c>
      <c r="N371">
        <v>39000</v>
      </c>
      <c r="O371" t="s">
        <v>23</v>
      </c>
      <c r="P371" t="s">
        <v>40</v>
      </c>
      <c r="Q371">
        <f t="shared" si="40"/>
        <v>52200</v>
      </c>
      <c r="R371">
        <f t="shared" si="41"/>
        <v>0</v>
      </c>
      <c r="S371">
        <f t="shared" si="42"/>
        <v>39000</v>
      </c>
      <c r="T371">
        <f t="shared" si="43"/>
        <v>13200</v>
      </c>
      <c r="U371">
        <f t="shared" si="44"/>
        <v>5</v>
      </c>
      <c r="V371" t="b">
        <f t="shared" si="45"/>
        <v>0</v>
      </c>
      <c r="W371">
        <f t="shared" si="46"/>
        <v>4</v>
      </c>
      <c r="X371" t="b">
        <f t="shared" si="47"/>
        <v>0</v>
      </c>
    </row>
    <row r="372" spans="1:24" x14ac:dyDescent="0.35">
      <c r="A372">
        <v>100371</v>
      </c>
      <c r="B372" s="1">
        <v>46131</v>
      </c>
      <c r="C372" t="s">
        <v>50</v>
      </c>
      <c r="D372" t="s">
        <v>51</v>
      </c>
      <c r="E372" t="s">
        <v>43</v>
      </c>
      <c r="F372" t="s">
        <v>19</v>
      </c>
      <c r="G372" t="s">
        <v>20</v>
      </c>
      <c r="H372" t="s">
        <v>144</v>
      </c>
      <c r="I372" t="s">
        <v>22</v>
      </c>
      <c r="J372">
        <v>3</v>
      </c>
      <c r="K372">
        <v>58000</v>
      </c>
      <c r="L372">
        <v>0.1</v>
      </c>
      <c r="M372">
        <v>156600</v>
      </c>
      <c r="N372">
        <v>39000</v>
      </c>
      <c r="O372" t="s">
        <v>23</v>
      </c>
      <c r="P372" t="s">
        <v>40</v>
      </c>
      <c r="Q372">
        <f t="shared" si="40"/>
        <v>156600</v>
      </c>
      <c r="R372">
        <f t="shared" si="41"/>
        <v>0</v>
      </c>
      <c r="S372">
        <f t="shared" si="42"/>
        <v>117000</v>
      </c>
      <c r="T372">
        <f t="shared" si="43"/>
        <v>39600</v>
      </c>
      <c r="U372">
        <f t="shared" si="44"/>
        <v>6</v>
      </c>
      <c r="V372" t="b">
        <f t="shared" si="45"/>
        <v>0</v>
      </c>
      <c r="W372">
        <f t="shared" si="46"/>
        <v>4</v>
      </c>
      <c r="X372" t="b">
        <f t="shared" si="47"/>
        <v>0</v>
      </c>
    </row>
    <row r="373" spans="1:24" x14ac:dyDescent="0.35">
      <c r="A373">
        <v>100372</v>
      </c>
      <c r="B373" s="1">
        <v>46234</v>
      </c>
      <c r="C373" t="s">
        <v>32</v>
      </c>
      <c r="D373" t="s">
        <v>17</v>
      </c>
      <c r="E373" t="s">
        <v>43</v>
      </c>
      <c r="F373" t="s">
        <v>19</v>
      </c>
      <c r="G373" t="s">
        <v>62</v>
      </c>
      <c r="H373" t="s">
        <v>152</v>
      </c>
      <c r="I373" t="s">
        <v>30</v>
      </c>
      <c r="J373">
        <v>1</v>
      </c>
      <c r="K373">
        <v>24000</v>
      </c>
      <c r="L373">
        <v>0</v>
      </c>
      <c r="M373">
        <v>24000</v>
      </c>
      <c r="N373">
        <v>15000</v>
      </c>
      <c r="O373" t="s">
        <v>23</v>
      </c>
      <c r="P373" t="s">
        <v>40</v>
      </c>
      <c r="Q373">
        <f t="shared" si="40"/>
        <v>24000</v>
      </c>
      <c r="R373">
        <f t="shared" si="41"/>
        <v>0</v>
      </c>
      <c r="S373">
        <f t="shared" si="42"/>
        <v>15000</v>
      </c>
      <c r="T373">
        <f t="shared" si="43"/>
        <v>9000</v>
      </c>
      <c r="U373">
        <f t="shared" si="44"/>
        <v>5</v>
      </c>
      <c r="V373" t="b">
        <f t="shared" si="45"/>
        <v>0</v>
      </c>
      <c r="W373">
        <f t="shared" si="46"/>
        <v>4</v>
      </c>
      <c r="X373" t="b">
        <f t="shared" si="47"/>
        <v>0</v>
      </c>
    </row>
    <row r="374" spans="1:24" x14ac:dyDescent="0.35">
      <c r="A374">
        <v>100373</v>
      </c>
      <c r="B374" s="1">
        <v>46075</v>
      </c>
      <c r="C374" t="s">
        <v>32</v>
      </c>
      <c r="D374" t="s">
        <v>17</v>
      </c>
      <c r="E374" t="s">
        <v>43</v>
      </c>
      <c r="F374" t="s">
        <v>19</v>
      </c>
      <c r="G374" t="s">
        <v>20</v>
      </c>
      <c r="H374" t="s">
        <v>199</v>
      </c>
      <c r="I374" t="s">
        <v>22</v>
      </c>
      <c r="J374">
        <v>2</v>
      </c>
      <c r="K374">
        <v>58000</v>
      </c>
      <c r="L374">
        <v>0.2</v>
      </c>
      <c r="M374">
        <v>92800</v>
      </c>
      <c r="N374">
        <v>39000</v>
      </c>
      <c r="O374" t="s">
        <v>76</v>
      </c>
      <c r="P374" t="s">
        <v>24</v>
      </c>
      <c r="Q374">
        <f t="shared" si="40"/>
        <v>92800</v>
      </c>
      <c r="R374">
        <f t="shared" si="41"/>
        <v>0</v>
      </c>
      <c r="S374">
        <f t="shared" si="42"/>
        <v>78000</v>
      </c>
      <c r="T374">
        <f t="shared" si="43"/>
        <v>14800</v>
      </c>
      <c r="U374">
        <f t="shared" si="44"/>
        <v>5</v>
      </c>
      <c r="V374" t="b">
        <f t="shared" si="45"/>
        <v>0</v>
      </c>
      <c r="W374">
        <f t="shared" si="46"/>
        <v>4</v>
      </c>
      <c r="X374" t="b">
        <f t="shared" si="47"/>
        <v>0</v>
      </c>
    </row>
    <row r="375" spans="1:24" x14ac:dyDescent="0.35">
      <c r="A375">
        <v>100374</v>
      </c>
      <c r="B375" s="1">
        <v>46112</v>
      </c>
      <c r="C375" t="s">
        <v>35</v>
      </c>
      <c r="D375" t="s">
        <v>36</v>
      </c>
      <c r="E375" t="s">
        <v>37</v>
      </c>
      <c r="F375" t="s">
        <v>19</v>
      </c>
      <c r="G375" t="s">
        <v>62</v>
      </c>
      <c r="H375" t="s">
        <v>92</v>
      </c>
      <c r="I375" t="s">
        <v>22</v>
      </c>
      <c r="J375">
        <v>1</v>
      </c>
      <c r="K375">
        <v>24000</v>
      </c>
      <c r="L375">
        <v>0.05</v>
      </c>
      <c r="M375">
        <v>22800</v>
      </c>
      <c r="N375">
        <v>15000</v>
      </c>
      <c r="O375" t="s">
        <v>23</v>
      </c>
      <c r="P375" t="s">
        <v>54</v>
      </c>
      <c r="Q375">
        <f t="shared" si="40"/>
        <v>22800</v>
      </c>
      <c r="R375">
        <f t="shared" si="41"/>
        <v>0</v>
      </c>
      <c r="S375">
        <f t="shared" si="42"/>
        <v>15000</v>
      </c>
      <c r="T375">
        <f t="shared" si="43"/>
        <v>7800</v>
      </c>
      <c r="U375">
        <f t="shared" si="44"/>
        <v>4</v>
      </c>
      <c r="V375" t="b">
        <f t="shared" si="45"/>
        <v>0</v>
      </c>
      <c r="W375">
        <f t="shared" si="46"/>
        <v>4</v>
      </c>
      <c r="X375" t="b">
        <f t="shared" si="47"/>
        <v>0</v>
      </c>
    </row>
    <row r="376" spans="1:24" x14ac:dyDescent="0.35">
      <c r="A376">
        <v>100375</v>
      </c>
      <c r="B376" s="1">
        <v>46026</v>
      </c>
      <c r="C376" t="s">
        <v>32</v>
      </c>
      <c r="D376" t="s">
        <v>17</v>
      </c>
      <c r="E376" t="s">
        <v>43</v>
      </c>
      <c r="F376" t="s">
        <v>19</v>
      </c>
      <c r="G376" t="s">
        <v>52</v>
      </c>
      <c r="H376" t="s">
        <v>189</v>
      </c>
      <c r="I376" t="s">
        <v>22</v>
      </c>
      <c r="J376">
        <v>2</v>
      </c>
      <c r="K376">
        <v>42000</v>
      </c>
      <c r="L376">
        <v>0.25</v>
      </c>
      <c r="M376">
        <v>63000</v>
      </c>
      <c r="N376">
        <v>28000</v>
      </c>
      <c r="O376" t="s">
        <v>23</v>
      </c>
      <c r="P376" t="s">
        <v>24</v>
      </c>
      <c r="Q376">
        <f t="shared" si="40"/>
        <v>63000</v>
      </c>
      <c r="R376">
        <f t="shared" si="41"/>
        <v>0</v>
      </c>
      <c r="S376">
        <f t="shared" si="42"/>
        <v>56000</v>
      </c>
      <c r="T376">
        <f t="shared" si="43"/>
        <v>7000</v>
      </c>
      <c r="U376">
        <f t="shared" si="44"/>
        <v>5</v>
      </c>
      <c r="V376" t="b">
        <f t="shared" si="45"/>
        <v>0</v>
      </c>
      <c r="W376">
        <f t="shared" si="46"/>
        <v>4</v>
      </c>
      <c r="X376" t="b">
        <f t="shared" si="47"/>
        <v>0</v>
      </c>
    </row>
    <row r="377" spans="1:24" x14ac:dyDescent="0.35">
      <c r="A377">
        <v>100376</v>
      </c>
      <c r="B377" s="1">
        <v>46050</v>
      </c>
      <c r="C377" t="s">
        <v>35</v>
      </c>
      <c r="D377" t="s">
        <v>36</v>
      </c>
      <c r="E377" t="s">
        <v>43</v>
      </c>
      <c r="F377" t="s">
        <v>27</v>
      </c>
      <c r="G377" t="s">
        <v>28</v>
      </c>
      <c r="H377" t="s">
        <v>233</v>
      </c>
      <c r="I377" t="s">
        <v>22</v>
      </c>
      <c r="J377">
        <v>1</v>
      </c>
      <c r="K377">
        <v>165000</v>
      </c>
      <c r="L377">
        <v>0.1</v>
      </c>
      <c r="M377">
        <v>148500</v>
      </c>
      <c r="N377">
        <v>112000</v>
      </c>
      <c r="O377" t="s">
        <v>23</v>
      </c>
      <c r="P377" t="s">
        <v>31</v>
      </c>
      <c r="Q377">
        <f t="shared" si="40"/>
        <v>148500</v>
      </c>
      <c r="R377">
        <f t="shared" si="41"/>
        <v>0</v>
      </c>
      <c r="S377">
        <f t="shared" si="42"/>
        <v>112000</v>
      </c>
      <c r="T377">
        <f t="shared" si="43"/>
        <v>36500</v>
      </c>
      <c r="U377">
        <f t="shared" si="44"/>
        <v>4</v>
      </c>
      <c r="V377" t="b">
        <f t="shared" si="45"/>
        <v>0</v>
      </c>
      <c r="W377">
        <f t="shared" si="46"/>
        <v>11</v>
      </c>
      <c r="X377" t="b">
        <f t="shared" si="47"/>
        <v>0</v>
      </c>
    </row>
    <row r="378" spans="1:24" x14ac:dyDescent="0.35">
      <c r="A378">
        <v>100377</v>
      </c>
      <c r="B378" s="1">
        <v>46139</v>
      </c>
      <c r="C378" t="s">
        <v>42</v>
      </c>
      <c r="D378" t="s">
        <v>26</v>
      </c>
      <c r="E378" t="s">
        <v>43</v>
      </c>
      <c r="F378" t="s">
        <v>44</v>
      </c>
      <c r="G378" t="s">
        <v>45</v>
      </c>
      <c r="H378" t="s">
        <v>87</v>
      </c>
      <c r="I378" t="s">
        <v>22</v>
      </c>
      <c r="J378">
        <v>3</v>
      </c>
      <c r="K378">
        <v>6500</v>
      </c>
      <c r="L378">
        <v>0.05</v>
      </c>
      <c r="M378">
        <v>18525</v>
      </c>
      <c r="N378">
        <v>2200</v>
      </c>
      <c r="O378" t="s">
        <v>76</v>
      </c>
      <c r="P378" t="s">
        <v>31</v>
      </c>
      <c r="Q378">
        <f t="shared" si="40"/>
        <v>18525</v>
      </c>
      <c r="R378">
        <f t="shared" si="41"/>
        <v>0</v>
      </c>
      <c r="S378">
        <f t="shared" si="42"/>
        <v>6600</v>
      </c>
      <c r="T378">
        <f t="shared" si="43"/>
        <v>11925</v>
      </c>
      <c r="U378">
        <f t="shared" si="44"/>
        <v>5</v>
      </c>
      <c r="V378" t="b">
        <f t="shared" si="45"/>
        <v>0</v>
      </c>
      <c r="W378">
        <f t="shared" si="46"/>
        <v>11</v>
      </c>
      <c r="X378" t="b">
        <f t="shared" si="47"/>
        <v>0</v>
      </c>
    </row>
    <row r="379" spans="1:24" x14ac:dyDescent="0.35">
      <c r="A379">
        <v>100378</v>
      </c>
      <c r="B379" s="1">
        <v>46121</v>
      </c>
      <c r="C379" t="s">
        <v>50</v>
      </c>
      <c r="D379" t="s">
        <v>51</v>
      </c>
      <c r="E379" t="s">
        <v>37</v>
      </c>
      <c r="F379" t="s">
        <v>27</v>
      </c>
      <c r="G379" t="s">
        <v>28</v>
      </c>
      <c r="H379" t="s">
        <v>48</v>
      </c>
      <c r="I379" t="s">
        <v>22</v>
      </c>
      <c r="J379">
        <v>3</v>
      </c>
      <c r="K379">
        <v>165000</v>
      </c>
      <c r="L379">
        <v>0.05</v>
      </c>
      <c r="M379">
        <v>470250</v>
      </c>
      <c r="N379">
        <v>112000</v>
      </c>
      <c r="O379" t="s">
        <v>23</v>
      </c>
      <c r="P379" t="s">
        <v>84</v>
      </c>
      <c r="Q379">
        <f t="shared" si="40"/>
        <v>470250</v>
      </c>
      <c r="R379">
        <f t="shared" si="41"/>
        <v>0</v>
      </c>
      <c r="S379">
        <f t="shared" si="42"/>
        <v>336000</v>
      </c>
      <c r="T379">
        <f t="shared" si="43"/>
        <v>134250</v>
      </c>
      <c r="U379">
        <f t="shared" si="44"/>
        <v>6</v>
      </c>
      <c r="V379" t="b">
        <f t="shared" si="45"/>
        <v>0</v>
      </c>
      <c r="W379">
        <f t="shared" si="46"/>
        <v>11</v>
      </c>
      <c r="X379" t="b">
        <f t="shared" si="47"/>
        <v>0</v>
      </c>
    </row>
    <row r="380" spans="1:24" x14ac:dyDescent="0.35">
      <c r="A380">
        <v>100379</v>
      </c>
      <c r="B380" s="1">
        <v>46095</v>
      </c>
      <c r="C380" t="s">
        <v>32</v>
      </c>
      <c r="D380" t="s">
        <v>17</v>
      </c>
      <c r="E380" t="s">
        <v>43</v>
      </c>
      <c r="F380" t="s">
        <v>19</v>
      </c>
      <c r="G380" t="s">
        <v>20</v>
      </c>
      <c r="H380" t="s">
        <v>66</v>
      </c>
      <c r="I380" t="s">
        <v>30</v>
      </c>
      <c r="J380">
        <v>3</v>
      </c>
      <c r="K380">
        <v>58000</v>
      </c>
      <c r="L380">
        <v>0.25</v>
      </c>
      <c r="M380">
        <v>130500</v>
      </c>
      <c r="N380">
        <v>39000</v>
      </c>
      <c r="O380" t="s">
        <v>23</v>
      </c>
      <c r="P380" t="s">
        <v>64</v>
      </c>
      <c r="Q380">
        <f t="shared" si="40"/>
        <v>130500</v>
      </c>
      <c r="R380">
        <f t="shared" si="41"/>
        <v>0</v>
      </c>
      <c r="S380">
        <f t="shared" si="42"/>
        <v>117000</v>
      </c>
      <c r="T380">
        <f t="shared" si="43"/>
        <v>13500</v>
      </c>
      <c r="U380">
        <f t="shared" si="44"/>
        <v>5</v>
      </c>
      <c r="V380" t="b">
        <f t="shared" si="45"/>
        <v>0</v>
      </c>
      <c r="W380">
        <f t="shared" si="46"/>
        <v>4</v>
      </c>
      <c r="X380" t="b">
        <f t="shared" si="47"/>
        <v>0</v>
      </c>
    </row>
    <row r="381" spans="1:24" x14ac:dyDescent="0.35">
      <c r="A381">
        <v>100380</v>
      </c>
      <c r="B381" s="1">
        <v>46051</v>
      </c>
      <c r="C381" t="s">
        <v>35</v>
      </c>
      <c r="D381" t="s">
        <v>36</v>
      </c>
      <c r="E381" t="s">
        <v>18</v>
      </c>
      <c r="F381" t="s">
        <v>27</v>
      </c>
      <c r="G381" t="s">
        <v>33</v>
      </c>
      <c r="H381" t="s">
        <v>172</v>
      </c>
      <c r="I381" t="s">
        <v>30</v>
      </c>
      <c r="J381">
        <v>2</v>
      </c>
      <c r="K381">
        <v>32000</v>
      </c>
      <c r="L381">
        <v>0.15</v>
      </c>
      <c r="M381">
        <v>54400</v>
      </c>
      <c r="N381">
        <v>19000</v>
      </c>
      <c r="O381" t="s">
        <v>23</v>
      </c>
      <c r="P381" t="s">
        <v>31</v>
      </c>
      <c r="Q381">
        <f t="shared" si="40"/>
        <v>54400</v>
      </c>
      <c r="R381">
        <f t="shared" si="41"/>
        <v>0</v>
      </c>
      <c r="S381">
        <f t="shared" si="42"/>
        <v>38000</v>
      </c>
      <c r="T381">
        <f t="shared" si="43"/>
        <v>16400</v>
      </c>
      <c r="U381">
        <f t="shared" si="44"/>
        <v>4</v>
      </c>
      <c r="V381" t="b">
        <f t="shared" si="45"/>
        <v>0</v>
      </c>
      <c r="W381">
        <f t="shared" si="46"/>
        <v>11</v>
      </c>
      <c r="X381" t="b">
        <f t="shared" si="47"/>
        <v>0</v>
      </c>
    </row>
    <row r="382" spans="1:24" x14ac:dyDescent="0.35">
      <c r="A382">
        <v>100381</v>
      </c>
      <c r="B382" s="1">
        <v>46115</v>
      </c>
      <c r="C382" t="s">
        <v>55</v>
      </c>
      <c r="D382" t="s">
        <v>56</v>
      </c>
      <c r="E382" t="s">
        <v>43</v>
      </c>
      <c r="F382" t="s">
        <v>44</v>
      </c>
      <c r="G382" t="s">
        <v>60</v>
      </c>
      <c r="H382" t="s">
        <v>107</v>
      </c>
      <c r="I382" t="s">
        <v>30</v>
      </c>
      <c r="J382">
        <v>2</v>
      </c>
      <c r="K382">
        <v>9000</v>
      </c>
      <c r="L382">
        <v>0.05</v>
      </c>
      <c r="M382">
        <v>17100</v>
      </c>
      <c r="N382">
        <v>3500</v>
      </c>
      <c r="O382" t="s">
        <v>23</v>
      </c>
      <c r="P382" t="s">
        <v>31</v>
      </c>
      <c r="Q382">
        <f t="shared" si="40"/>
        <v>17100</v>
      </c>
      <c r="R382">
        <f t="shared" si="41"/>
        <v>0</v>
      </c>
      <c r="S382">
        <f t="shared" si="42"/>
        <v>7000</v>
      </c>
      <c r="T382">
        <f t="shared" si="43"/>
        <v>10100</v>
      </c>
      <c r="U382">
        <f t="shared" si="44"/>
        <v>13</v>
      </c>
      <c r="V382" t="b">
        <f t="shared" si="45"/>
        <v>0</v>
      </c>
      <c r="W382">
        <f t="shared" si="46"/>
        <v>11</v>
      </c>
      <c r="X382" t="b">
        <f t="shared" si="47"/>
        <v>0</v>
      </c>
    </row>
    <row r="383" spans="1:24" x14ac:dyDescent="0.35">
      <c r="A383">
        <v>100382</v>
      </c>
      <c r="B383" s="1">
        <v>46249</v>
      </c>
      <c r="C383" t="s">
        <v>55</v>
      </c>
      <c r="D383" t="s">
        <v>56</v>
      </c>
      <c r="E383" t="s">
        <v>37</v>
      </c>
      <c r="F383" t="s">
        <v>19</v>
      </c>
      <c r="G383" t="s">
        <v>52</v>
      </c>
      <c r="H383" t="s">
        <v>165</v>
      </c>
      <c r="I383" t="s">
        <v>22</v>
      </c>
      <c r="J383">
        <v>4</v>
      </c>
      <c r="K383">
        <v>42000</v>
      </c>
      <c r="L383">
        <v>0.15</v>
      </c>
      <c r="M383">
        <v>142800</v>
      </c>
      <c r="N383">
        <v>28000</v>
      </c>
      <c r="O383" t="s">
        <v>23</v>
      </c>
      <c r="P383" t="s">
        <v>84</v>
      </c>
      <c r="Q383">
        <f t="shared" si="40"/>
        <v>142800</v>
      </c>
      <c r="R383">
        <f t="shared" si="41"/>
        <v>0</v>
      </c>
      <c r="S383">
        <f t="shared" si="42"/>
        <v>112000</v>
      </c>
      <c r="T383">
        <f t="shared" si="43"/>
        <v>30800</v>
      </c>
      <c r="U383">
        <f t="shared" si="44"/>
        <v>13</v>
      </c>
      <c r="V383" t="b">
        <f t="shared" si="45"/>
        <v>0</v>
      </c>
      <c r="W383">
        <f t="shared" si="46"/>
        <v>4</v>
      </c>
      <c r="X383" t="b">
        <f t="shared" si="47"/>
        <v>0</v>
      </c>
    </row>
    <row r="384" spans="1:24" x14ac:dyDescent="0.35">
      <c r="A384">
        <v>100383</v>
      </c>
      <c r="B384" s="1">
        <v>46073</v>
      </c>
      <c r="C384" t="s">
        <v>25</v>
      </c>
      <c r="D384" t="s">
        <v>26</v>
      </c>
      <c r="E384" t="s">
        <v>43</v>
      </c>
      <c r="F384" t="s">
        <v>44</v>
      </c>
      <c r="G384" t="s">
        <v>45</v>
      </c>
      <c r="H384" t="s">
        <v>234</v>
      </c>
      <c r="I384" t="s">
        <v>30</v>
      </c>
      <c r="J384">
        <v>22</v>
      </c>
      <c r="K384">
        <v>6500</v>
      </c>
      <c r="L384">
        <v>0</v>
      </c>
      <c r="M384">
        <v>143000</v>
      </c>
      <c r="N384">
        <v>2200</v>
      </c>
      <c r="O384" t="s">
        <v>23</v>
      </c>
      <c r="P384" t="s">
        <v>58</v>
      </c>
      <c r="Q384">
        <f t="shared" si="40"/>
        <v>143000</v>
      </c>
      <c r="R384">
        <f t="shared" si="41"/>
        <v>0</v>
      </c>
      <c r="S384">
        <f t="shared" si="42"/>
        <v>48400</v>
      </c>
      <c r="T384">
        <f t="shared" si="43"/>
        <v>94600</v>
      </c>
      <c r="U384">
        <f t="shared" si="44"/>
        <v>5</v>
      </c>
      <c r="V384" t="b">
        <f t="shared" si="45"/>
        <v>0</v>
      </c>
      <c r="W384">
        <f t="shared" si="46"/>
        <v>11</v>
      </c>
      <c r="X384" t="b">
        <f t="shared" si="47"/>
        <v>0</v>
      </c>
    </row>
    <row r="385" spans="1:24" x14ac:dyDescent="0.35">
      <c r="A385">
        <v>100384</v>
      </c>
      <c r="B385" s="1">
        <v>46227</v>
      </c>
      <c r="C385" t="s">
        <v>50</v>
      </c>
      <c r="D385" t="s">
        <v>51</v>
      </c>
      <c r="E385" t="s">
        <v>37</v>
      </c>
      <c r="F385" t="s">
        <v>19</v>
      </c>
      <c r="G385" t="s">
        <v>62</v>
      </c>
      <c r="H385" t="s">
        <v>178</v>
      </c>
      <c r="I385" t="s">
        <v>30</v>
      </c>
      <c r="J385">
        <v>3</v>
      </c>
      <c r="K385">
        <v>24000</v>
      </c>
      <c r="L385">
        <v>0.05</v>
      </c>
      <c r="M385">
        <v>68400</v>
      </c>
      <c r="N385">
        <v>15000</v>
      </c>
      <c r="O385" t="s">
        <v>23</v>
      </c>
      <c r="P385" t="s">
        <v>64</v>
      </c>
      <c r="Q385">
        <f t="shared" si="40"/>
        <v>68400</v>
      </c>
      <c r="R385">
        <f t="shared" si="41"/>
        <v>0</v>
      </c>
      <c r="S385">
        <f t="shared" si="42"/>
        <v>45000</v>
      </c>
      <c r="T385">
        <f t="shared" si="43"/>
        <v>23400</v>
      </c>
      <c r="U385">
        <f t="shared" si="44"/>
        <v>6</v>
      </c>
      <c r="V385" t="b">
        <f t="shared" si="45"/>
        <v>0</v>
      </c>
      <c r="W385">
        <f t="shared" si="46"/>
        <v>4</v>
      </c>
      <c r="X385" t="b">
        <f t="shared" si="47"/>
        <v>0</v>
      </c>
    </row>
    <row r="386" spans="1:24" x14ac:dyDescent="0.35">
      <c r="A386">
        <v>100385</v>
      </c>
      <c r="B386" s="1">
        <v>46205</v>
      </c>
      <c r="C386" t="s">
        <v>42</v>
      </c>
      <c r="D386" t="s">
        <v>26</v>
      </c>
      <c r="E386" t="s">
        <v>43</v>
      </c>
      <c r="F386" t="s">
        <v>27</v>
      </c>
      <c r="G386" t="s">
        <v>28</v>
      </c>
      <c r="H386" t="s">
        <v>53</v>
      </c>
      <c r="I386" t="s">
        <v>30</v>
      </c>
      <c r="J386">
        <v>3</v>
      </c>
      <c r="K386">
        <v>165000</v>
      </c>
      <c r="L386">
        <v>0</v>
      </c>
      <c r="M386">
        <v>495000</v>
      </c>
      <c r="N386">
        <v>112000</v>
      </c>
      <c r="O386" t="s">
        <v>23</v>
      </c>
      <c r="P386" t="s">
        <v>31</v>
      </c>
      <c r="Q386">
        <f t="shared" ref="Q386:Q421" si="48">J386*K386*(1-L386)</f>
        <v>495000</v>
      </c>
      <c r="R386">
        <f t="shared" ref="R386:R449" si="49">M386-Q386</f>
        <v>0</v>
      </c>
      <c r="S386">
        <f t="shared" si="42"/>
        <v>336000</v>
      </c>
      <c r="T386">
        <f t="shared" si="43"/>
        <v>159000</v>
      </c>
      <c r="U386">
        <f t="shared" si="44"/>
        <v>5</v>
      </c>
      <c r="V386" t="b">
        <f t="shared" si="45"/>
        <v>0</v>
      </c>
      <c r="W386">
        <f t="shared" si="46"/>
        <v>11</v>
      </c>
      <c r="X386" t="b">
        <f t="shared" si="47"/>
        <v>0</v>
      </c>
    </row>
    <row r="387" spans="1:24" x14ac:dyDescent="0.35">
      <c r="A387">
        <v>100386</v>
      </c>
      <c r="B387" s="1">
        <v>46049</v>
      </c>
      <c r="C387" t="s">
        <v>25</v>
      </c>
      <c r="D387" t="s">
        <v>26</v>
      </c>
      <c r="E387" t="s">
        <v>18</v>
      </c>
      <c r="F387" t="s">
        <v>44</v>
      </c>
      <c r="G387" t="s">
        <v>60</v>
      </c>
      <c r="H387" t="s">
        <v>98</v>
      </c>
      <c r="I387" t="s">
        <v>22</v>
      </c>
      <c r="J387">
        <v>3</v>
      </c>
      <c r="K387">
        <v>9000</v>
      </c>
      <c r="L387">
        <v>0</v>
      </c>
      <c r="M387">
        <v>27000</v>
      </c>
      <c r="N387">
        <v>3500</v>
      </c>
      <c r="O387" t="s">
        <v>23</v>
      </c>
      <c r="P387" t="s">
        <v>64</v>
      </c>
      <c r="Q387">
        <f t="shared" si="48"/>
        <v>27000</v>
      </c>
      <c r="R387">
        <f t="shared" si="49"/>
        <v>0</v>
      </c>
      <c r="S387">
        <f t="shared" ref="S387:S421" si="50">J387*N387</f>
        <v>10500</v>
      </c>
      <c r="T387">
        <f t="shared" ref="T387:T421" si="51">Q387-S387</f>
        <v>16500</v>
      </c>
      <c r="U387">
        <f t="shared" ref="U387:U421" si="52">LEN(D387)</f>
        <v>5</v>
      </c>
      <c r="V387" t="b">
        <f t="shared" ref="V387:V421" si="53">AND(LEFT(D387,5)="Lagos",LEN(D387)&gt;5)</f>
        <v>0</v>
      </c>
      <c r="W387">
        <f t="shared" ref="W387:W421" si="54">LEN(F387)</f>
        <v>11</v>
      </c>
      <c r="X387" t="b">
        <f t="shared" ref="X387:X421" si="55">AND(LEFT(F387,11)="Accessories",LEN(F387)&gt;11)</f>
        <v>0</v>
      </c>
    </row>
    <row r="388" spans="1:24" x14ac:dyDescent="0.35">
      <c r="A388">
        <v>100387</v>
      </c>
      <c r="B388" s="1">
        <v>46231</v>
      </c>
      <c r="C388" t="s">
        <v>50</v>
      </c>
      <c r="D388" t="s">
        <v>51</v>
      </c>
      <c r="E388" t="s">
        <v>43</v>
      </c>
      <c r="F388" t="s">
        <v>27</v>
      </c>
      <c r="G388" t="s">
        <v>33</v>
      </c>
      <c r="H388" t="s">
        <v>235</v>
      </c>
      <c r="I388" t="s">
        <v>30</v>
      </c>
      <c r="J388">
        <v>4</v>
      </c>
      <c r="K388">
        <v>32000</v>
      </c>
      <c r="L388">
        <v>0.1</v>
      </c>
      <c r="M388">
        <v>115200</v>
      </c>
      <c r="N388">
        <v>19000</v>
      </c>
      <c r="O388" t="s">
        <v>23</v>
      </c>
      <c r="P388" t="s">
        <v>31</v>
      </c>
      <c r="Q388">
        <f t="shared" si="48"/>
        <v>115200</v>
      </c>
      <c r="R388">
        <f t="shared" si="49"/>
        <v>0</v>
      </c>
      <c r="S388">
        <f t="shared" si="50"/>
        <v>76000</v>
      </c>
      <c r="T388">
        <f t="shared" si="51"/>
        <v>39200</v>
      </c>
      <c r="U388">
        <f t="shared" si="52"/>
        <v>6</v>
      </c>
      <c r="V388" t="b">
        <f t="shared" si="53"/>
        <v>0</v>
      </c>
      <c r="W388">
        <f t="shared" si="54"/>
        <v>11</v>
      </c>
      <c r="X388" t="b">
        <f t="shared" si="55"/>
        <v>0</v>
      </c>
    </row>
    <row r="389" spans="1:24" x14ac:dyDescent="0.35">
      <c r="A389">
        <v>100388</v>
      </c>
      <c r="B389" s="1">
        <v>46259</v>
      </c>
      <c r="C389" t="s">
        <v>55</v>
      </c>
      <c r="D389" t="s">
        <v>56</v>
      </c>
      <c r="E389" t="s">
        <v>43</v>
      </c>
      <c r="F389" t="s">
        <v>27</v>
      </c>
      <c r="G389" t="s">
        <v>33</v>
      </c>
      <c r="H389" t="s">
        <v>229</v>
      </c>
      <c r="I389" t="s">
        <v>30</v>
      </c>
      <c r="J389">
        <v>1</v>
      </c>
      <c r="K389">
        <v>32000</v>
      </c>
      <c r="L389">
        <v>0</v>
      </c>
      <c r="M389">
        <v>32000</v>
      </c>
      <c r="N389">
        <v>19000</v>
      </c>
      <c r="O389" t="s">
        <v>23</v>
      </c>
      <c r="P389" t="s">
        <v>47</v>
      </c>
      <c r="Q389">
        <f t="shared" si="48"/>
        <v>32000</v>
      </c>
      <c r="R389">
        <f t="shared" si="49"/>
        <v>0</v>
      </c>
      <c r="S389">
        <f t="shared" si="50"/>
        <v>19000</v>
      </c>
      <c r="T389">
        <f t="shared" si="51"/>
        <v>13000</v>
      </c>
      <c r="U389">
        <f t="shared" si="52"/>
        <v>13</v>
      </c>
      <c r="V389" t="b">
        <f t="shared" si="53"/>
        <v>0</v>
      </c>
      <c r="W389">
        <f t="shared" si="54"/>
        <v>11</v>
      </c>
      <c r="X389" t="b">
        <f t="shared" si="55"/>
        <v>0</v>
      </c>
    </row>
    <row r="390" spans="1:24" x14ac:dyDescent="0.35">
      <c r="A390">
        <v>100389</v>
      </c>
      <c r="B390" s="1">
        <v>46190</v>
      </c>
      <c r="C390" t="s">
        <v>50</v>
      </c>
      <c r="D390" t="s">
        <v>51</v>
      </c>
      <c r="E390" t="s">
        <v>43</v>
      </c>
      <c r="F390" t="s">
        <v>19</v>
      </c>
      <c r="G390" t="s">
        <v>62</v>
      </c>
      <c r="H390" t="s">
        <v>34</v>
      </c>
      <c r="I390" t="s">
        <v>22</v>
      </c>
      <c r="J390">
        <v>1</v>
      </c>
      <c r="K390">
        <v>24000</v>
      </c>
      <c r="L390">
        <v>0.05</v>
      </c>
      <c r="M390">
        <v>22800</v>
      </c>
      <c r="N390">
        <v>15000</v>
      </c>
      <c r="O390" t="s">
        <v>23</v>
      </c>
      <c r="P390" t="s">
        <v>84</v>
      </c>
      <c r="Q390">
        <f t="shared" si="48"/>
        <v>22800</v>
      </c>
      <c r="R390">
        <f t="shared" si="49"/>
        <v>0</v>
      </c>
      <c r="S390">
        <f t="shared" si="50"/>
        <v>15000</v>
      </c>
      <c r="T390">
        <f t="shared" si="51"/>
        <v>7800</v>
      </c>
      <c r="U390">
        <f t="shared" si="52"/>
        <v>6</v>
      </c>
      <c r="V390" t="b">
        <f t="shared" si="53"/>
        <v>0</v>
      </c>
      <c r="W390">
        <f t="shared" si="54"/>
        <v>4</v>
      </c>
      <c r="X390" t="b">
        <f t="shared" si="55"/>
        <v>0</v>
      </c>
    </row>
    <row r="391" spans="1:24" x14ac:dyDescent="0.35">
      <c r="A391">
        <v>100390</v>
      </c>
      <c r="B391" s="1">
        <v>46240</v>
      </c>
      <c r="C391" t="s">
        <v>35</v>
      </c>
      <c r="D391" t="s">
        <v>36</v>
      </c>
      <c r="E391" t="s">
        <v>18</v>
      </c>
      <c r="F391" t="s">
        <v>19</v>
      </c>
      <c r="G391" t="s">
        <v>20</v>
      </c>
      <c r="H391" t="s">
        <v>227</v>
      </c>
      <c r="I391" t="s">
        <v>30</v>
      </c>
      <c r="J391">
        <v>2</v>
      </c>
      <c r="K391">
        <v>58000</v>
      </c>
      <c r="L391">
        <v>0.1</v>
      </c>
      <c r="M391">
        <v>104400</v>
      </c>
      <c r="N391">
        <v>39000</v>
      </c>
      <c r="O391" t="s">
        <v>23</v>
      </c>
      <c r="P391" t="s">
        <v>64</v>
      </c>
      <c r="Q391">
        <f t="shared" si="48"/>
        <v>104400</v>
      </c>
      <c r="R391">
        <f t="shared" si="49"/>
        <v>0</v>
      </c>
      <c r="S391">
        <f t="shared" si="50"/>
        <v>78000</v>
      </c>
      <c r="T391">
        <f t="shared" si="51"/>
        <v>26400</v>
      </c>
      <c r="U391">
        <f t="shared" si="52"/>
        <v>4</v>
      </c>
      <c r="V391" t="b">
        <f t="shared" si="53"/>
        <v>0</v>
      </c>
      <c r="W391">
        <f t="shared" si="54"/>
        <v>4</v>
      </c>
      <c r="X391" t="b">
        <f t="shared" si="55"/>
        <v>0</v>
      </c>
    </row>
    <row r="392" spans="1:24" x14ac:dyDescent="0.35">
      <c r="A392">
        <v>100391</v>
      </c>
      <c r="B392" s="1">
        <v>46125</v>
      </c>
      <c r="C392" t="s">
        <v>35</v>
      </c>
      <c r="D392" t="s">
        <v>36</v>
      </c>
      <c r="E392" t="s">
        <v>37</v>
      </c>
      <c r="F392" t="s">
        <v>44</v>
      </c>
      <c r="G392" t="s">
        <v>60</v>
      </c>
      <c r="H392" t="s">
        <v>133</v>
      </c>
      <c r="I392" t="s">
        <v>22</v>
      </c>
      <c r="J392">
        <v>1</v>
      </c>
      <c r="K392">
        <v>9000</v>
      </c>
      <c r="L392">
        <v>0.05</v>
      </c>
      <c r="M392">
        <v>8550</v>
      </c>
      <c r="N392">
        <v>3500</v>
      </c>
      <c r="O392" t="s">
        <v>23</v>
      </c>
      <c r="P392" t="s">
        <v>58</v>
      </c>
      <c r="Q392">
        <f t="shared" si="48"/>
        <v>8550</v>
      </c>
      <c r="R392">
        <f t="shared" si="49"/>
        <v>0</v>
      </c>
      <c r="S392">
        <f t="shared" si="50"/>
        <v>3500</v>
      </c>
      <c r="T392">
        <f t="shared" si="51"/>
        <v>5050</v>
      </c>
      <c r="U392">
        <f t="shared" si="52"/>
        <v>4</v>
      </c>
      <c r="V392" t="b">
        <f t="shared" si="53"/>
        <v>0</v>
      </c>
      <c r="W392">
        <f t="shared" si="54"/>
        <v>11</v>
      </c>
      <c r="X392" t="b">
        <f t="shared" si="55"/>
        <v>0</v>
      </c>
    </row>
    <row r="393" spans="1:24" x14ac:dyDescent="0.35">
      <c r="A393">
        <v>100392</v>
      </c>
      <c r="B393" s="1">
        <v>46178</v>
      </c>
      <c r="C393" t="s">
        <v>42</v>
      </c>
      <c r="D393" t="s">
        <v>26</v>
      </c>
      <c r="E393" t="s">
        <v>43</v>
      </c>
      <c r="F393" t="s">
        <v>44</v>
      </c>
      <c r="G393" t="s">
        <v>45</v>
      </c>
      <c r="H393" t="s">
        <v>161</v>
      </c>
      <c r="I393" t="s">
        <v>22</v>
      </c>
      <c r="J393">
        <v>2</v>
      </c>
      <c r="K393">
        <v>6500</v>
      </c>
      <c r="L393">
        <v>0.15</v>
      </c>
      <c r="M393">
        <v>11050</v>
      </c>
      <c r="N393">
        <v>2200</v>
      </c>
      <c r="O393" t="s">
        <v>23</v>
      </c>
      <c r="P393" t="s">
        <v>58</v>
      </c>
      <c r="Q393">
        <f t="shared" si="48"/>
        <v>11050</v>
      </c>
      <c r="R393">
        <f t="shared" si="49"/>
        <v>0</v>
      </c>
      <c r="S393">
        <f t="shared" si="50"/>
        <v>4400</v>
      </c>
      <c r="T393">
        <f t="shared" si="51"/>
        <v>6650</v>
      </c>
      <c r="U393">
        <f t="shared" si="52"/>
        <v>5</v>
      </c>
      <c r="V393" t="b">
        <f t="shared" si="53"/>
        <v>0</v>
      </c>
      <c r="W393">
        <f t="shared" si="54"/>
        <v>11</v>
      </c>
      <c r="X393" t="b">
        <f t="shared" si="55"/>
        <v>0</v>
      </c>
    </row>
    <row r="394" spans="1:24" x14ac:dyDescent="0.35">
      <c r="A394">
        <v>100393</v>
      </c>
      <c r="B394" s="1">
        <v>46039</v>
      </c>
      <c r="C394" t="s">
        <v>35</v>
      </c>
      <c r="D394" t="s">
        <v>36</v>
      </c>
      <c r="E394" t="s">
        <v>37</v>
      </c>
      <c r="F394" t="s">
        <v>44</v>
      </c>
      <c r="G394" t="s">
        <v>45</v>
      </c>
      <c r="H394" t="s">
        <v>93</v>
      </c>
      <c r="I394" t="s">
        <v>30</v>
      </c>
      <c r="J394">
        <v>2</v>
      </c>
      <c r="K394">
        <v>6500</v>
      </c>
      <c r="L394">
        <v>0.1</v>
      </c>
      <c r="M394">
        <v>11700</v>
      </c>
      <c r="N394">
        <v>2200</v>
      </c>
      <c r="O394" t="s">
        <v>23</v>
      </c>
      <c r="P394" t="s">
        <v>24</v>
      </c>
      <c r="Q394">
        <f t="shared" si="48"/>
        <v>11700</v>
      </c>
      <c r="R394">
        <f t="shared" si="49"/>
        <v>0</v>
      </c>
      <c r="S394">
        <f t="shared" si="50"/>
        <v>4400</v>
      </c>
      <c r="T394">
        <f t="shared" si="51"/>
        <v>7300</v>
      </c>
      <c r="U394">
        <f t="shared" si="52"/>
        <v>4</v>
      </c>
      <c r="V394" t="b">
        <f t="shared" si="53"/>
        <v>0</v>
      </c>
      <c r="W394">
        <f t="shared" si="54"/>
        <v>11</v>
      </c>
      <c r="X394" t="b">
        <f t="shared" si="55"/>
        <v>0</v>
      </c>
    </row>
    <row r="395" spans="1:24" x14ac:dyDescent="0.35">
      <c r="A395">
        <v>100394</v>
      </c>
      <c r="B395" s="1">
        <v>46255</v>
      </c>
      <c r="C395" t="s">
        <v>25</v>
      </c>
      <c r="D395" t="s">
        <v>26</v>
      </c>
      <c r="E395" t="s">
        <v>37</v>
      </c>
      <c r="F395" t="s">
        <v>44</v>
      </c>
      <c r="G395" t="s">
        <v>60</v>
      </c>
      <c r="H395" t="s">
        <v>236</v>
      </c>
      <c r="I395" t="s">
        <v>30</v>
      </c>
      <c r="J395">
        <v>3</v>
      </c>
      <c r="K395">
        <v>9000</v>
      </c>
      <c r="L395">
        <v>0.05</v>
      </c>
      <c r="M395">
        <v>25650</v>
      </c>
      <c r="N395">
        <v>3500</v>
      </c>
      <c r="O395" t="s">
        <v>23</v>
      </c>
      <c r="P395" t="s">
        <v>84</v>
      </c>
      <c r="Q395">
        <f t="shared" si="48"/>
        <v>25650</v>
      </c>
      <c r="R395">
        <f t="shared" si="49"/>
        <v>0</v>
      </c>
      <c r="S395">
        <f t="shared" si="50"/>
        <v>10500</v>
      </c>
      <c r="T395">
        <f t="shared" si="51"/>
        <v>15150</v>
      </c>
      <c r="U395">
        <f t="shared" si="52"/>
        <v>5</v>
      </c>
      <c r="V395" t="b">
        <f t="shared" si="53"/>
        <v>0</v>
      </c>
      <c r="W395">
        <f t="shared" si="54"/>
        <v>11</v>
      </c>
      <c r="X395" t="b">
        <f t="shared" si="55"/>
        <v>0</v>
      </c>
    </row>
    <row r="396" spans="1:24" x14ac:dyDescent="0.35">
      <c r="A396">
        <v>100395</v>
      </c>
      <c r="B396" s="1">
        <v>46151</v>
      </c>
      <c r="C396" t="s">
        <v>35</v>
      </c>
      <c r="D396" t="s">
        <v>36</v>
      </c>
      <c r="E396" t="s">
        <v>18</v>
      </c>
      <c r="F396" t="s">
        <v>44</v>
      </c>
      <c r="G396" t="s">
        <v>65</v>
      </c>
      <c r="H396" t="s">
        <v>86</v>
      </c>
      <c r="I396" t="s">
        <v>30</v>
      </c>
      <c r="J396">
        <v>2</v>
      </c>
      <c r="K396">
        <v>28000</v>
      </c>
      <c r="L396">
        <v>0.05</v>
      </c>
      <c r="M396">
        <v>53200</v>
      </c>
      <c r="N396">
        <v>16000</v>
      </c>
      <c r="O396" t="s">
        <v>23</v>
      </c>
      <c r="P396" t="s">
        <v>84</v>
      </c>
      <c r="Q396">
        <f t="shared" si="48"/>
        <v>53200</v>
      </c>
      <c r="R396">
        <f t="shared" si="49"/>
        <v>0</v>
      </c>
      <c r="S396">
        <f t="shared" si="50"/>
        <v>32000</v>
      </c>
      <c r="T396">
        <f t="shared" si="51"/>
        <v>21200</v>
      </c>
      <c r="U396">
        <f t="shared" si="52"/>
        <v>4</v>
      </c>
      <c r="V396" t="b">
        <f t="shared" si="53"/>
        <v>0</v>
      </c>
      <c r="W396">
        <f t="shared" si="54"/>
        <v>11</v>
      </c>
      <c r="X396" t="b">
        <f t="shared" si="55"/>
        <v>0</v>
      </c>
    </row>
    <row r="397" spans="1:24" x14ac:dyDescent="0.35">
      <c r="A397">
        <v>100396</v>
      </c>
      <c r="B397" s="1">
        <v>46048</v>
      </c>
      <c r="C397" t="s">
        <v>32</v>
      </c>
      <c r="D397" t="s">
        <v>17</v>
      </c>
      <c r="E397" t="s">
        <v>43</v>
      </c>
      <c r="F397" t="s">
        <v>19</v>
      </c>
      <c r="G397" t="s">
        <v>62</v>
      </c>
      <c r="H397" t="s">
        <v>90</v>
      </c>
      <c r="I397" t="s">
        <v>30</v>
      </c>
      <c r="J397">
        <v>1</v>
      </c>
      <c r="K397">
        <v>24000</v>
      </c>
      <c r="L397">
        <v>0.2</v>
      </c>
      <c r="M397">
        <v>19200</v>
      </c>
      <c r="N397">
        <v>15000</v>
      </c>
      <c r="O397" t="s">
        <v>23</v>
      </c>
      <c r="P397" t="s">
        <v>47</v>
      </c>
      <c r="Q397">
        <f t="shared" si="48"/>
        <v>19200</v>
      </c>
      <c r="R397">
        <f t="shared" si="49"/>
        <v>0</v>
      </c>
      <c r="S397">
        <f t="shared" si="50"/>
        <v>15000</v>
      </c>
      <c r="T397">
        <f t="shared" si="51"/>
        <v>4200</v>
      </c>
      <c r="U397">
        <f t="shared" si="52"/>
        <v>5</v>
      </c>
      <c r="V397" t="b">
        <f t="shared" si="53"/>
        <v>0</v>
      </c>
      <c r="W397">
        <f t="shared" si="54"/>
        <v>4</v>
      </c>
      <c r="X397" t="b">
        <f t="shared" si="55"/>
        <v>0</v>
      </c>
    </row>
    <row r="398" spans="1:24" x14ac:dyDescent="0.35">
      <c r="A398">
        <v>100397</v>
      </c>
      <c r="B398" s="1">
        <v>46190</v>
      </c>
      <c r="C398" t="s">
        <v>42</v>
      </c>
      <c r="D398" t="s">
        <v>26</v>
      </c>
      <c r="E398" t="s">
        <v>18</v>
      </c>
      <c r="F398" t="s">
        <v>27</v>
      </c>
      <c r="G398" t="s">
        <v>28</v>
      </c>
      <c r="H398" t="s">
        <v>111</v>
      </c>
      <c r="I398" t="s">
        <v>22</v>
      </c>
      <c r="J398">
        <v>3</v>
      </c>
      <c r="K398">
        <v>165000</v>
      </c>
      <c r="L398">
        <v>0</v>
      </c>
      <c r="M398">
        <v>495000</v>
      </c>
      <c r="N398">
        <v>112000</v>
      </c>
      <c r="O398" t="s">
        <v>23</v>
      </c>
      <c r="P398" t="s">
        <v>40</v>
      </c>
      <c r="Q398">
        <f t="shared" si="48"/>
        <v>495000</v>
      </c>
      <c r="R398">
        <f t="shared" si="49"/>
        <v>0</v>
      </c>
      <c r="S398">
        <f t="shared" si="50"/>
        <v>336000</v>
      </c>
      <c r="T398">
        <f t="shared" si="51"/>
        <v>159000</v>
      </c>
      <c r="U398">
        <f t="shared" si="52"/>
        <v>5</v>
      </c>
      <c r="V398" t="b">
        <f t="shared" si="53"/>
        <v>0</v>
      </c>
      <c r="W398">
        <f t="shared" si="54"/>
        <v>11</v>
      </c>
      <c r="X398" t="b">
        <f t="shared" si="55"/>
        <v>0</v>
      </c>
    </row>
    <row r="399" spans="1:24" x14ac:dyDescent="0.35">
      <c r="A399">
        <v>100398</v>
      </c>
      <c r="B399" s="1">
        <v>46218</v>
      </c>
      <c r="C399" t="s">
        <v>25</v>
      </c>
      <c r="D399" t="s">
        <v>26</v>
      </c>
      <c r="E399" t="s">
        <v>43</v>
      </c>
      <c r="F399" t="s">
        <v>19</v>
      </c>
      <c r="G399" t="s">
        <v>20</v>
      </c>
      <c r="H399" t="s">
        <v>69</v>
      </c>
      <c r="I399" t="s">
        <v>30</v>
      </c>
      <c r="J399">
        <v>4</v>
      </c>
      <c r="K399">
        <v>58000</v>
      </c>
      <c r="L399">
        <v>0</v>
      </c>
      <c r="M399">
        <v>232000</v>
      </c>
      <c r="N399">
        <v>39000</v>
      </c>
      <c r="O399" t="s">
        <v>23</v>
      </c>
      <c r="P399" t="s">
        <v>40</v>
      </c>
      <c r="Q399">
        <f t="shared" si="48"/>
        <v>232000</v>
      </c>
      <c r="R399">
        <f t="shared" si="49"/>
        <v>0</v>
      </c>
      <c r="S399">
        <f t="shared" si="50"/>
        <v>156000</v>
      </c>
      <c r="T399">
        <f t="shared" si="51"/>
        <v>76000</v>
      </c>
      <c r="U399">
        <f t="shared" si="52"/>
        <v>5</v>
      </c>
      <c r="V399" t="b">
        <f t="shared" si="53"/>
        <v>0</v>
      </c>
      <c r="W399">
        <f t="shared" si="54"/>
        <v>4</v>
      </c>
      <c r="X399" t="b">
        <f t="shared" si="55"/>
        <v>0</v>
      </c>
    </row>
    <row r="400" spans="1:24" x14ac:dyDescent="0.35">
      <c r="A400">
        <v>100399</v>
      </c>
      <c r="B400" s="1">
        <v>46173</v>
      </c>
      <c r="C400" t="s">
        <v>35</v>
      </c>
      <c r="D400" t="s">
        <v>36</v>
      </c>
      <c r="E400" t="s">
        <v>37</v>
      </c>
      <c r="F400" t="s">
        <v>27</v>
      </c>
      <c r="G400" t="s">
        <v>38</v>
      </c>
      <c r="H400" t="s">
        <v>129</v>
      </c>
      <c r="I400" t="s">
        <v>30</v>
      </c>
      <c r="J400">
        <v>2</v>
      </c>
      <c r="K400">
        <v>26000</v>
      </c>
      <c r="L400">
        <v>0.1</v>
      </c>
      <c r="M400">
        <v>46800</v>
      </c>
      <c r="N400">
        <v>15000</v>
      </c>
      <c r="O400" t="s">
        <v>23</v>
      </c>
      <c r="P400" t="s">
        <v>24</v>
      </c>
      <c r="Q400">
        <f t="shared" si="48"/>
        <v>46800</v>
      </c>
      <c r="R400">
        <f t="shared" si="49"/>
        <v>0</v>
      </c>
      <c r="S400">
        <f t="shared" si="50"/>
        <v>30000</v>
      </c>
      <c r="T400">
        <f t="shared" si="51"/>
        <v>16800</v>
      </c>
      <c r="U400">
        <f t="shared" si="52"/>
        <v>4</v>
      </c>
      <c r="V400" t="b">
        <f t="shared" si="53"/>
        <v>0</v>
      </c>
      <c r="W400">
        <f t="shared" si="54"/>
        <v>11</v>
      </c>
      <c r="X400" t="b">
        <f t="shared" si="55"/>
        <v>0</v>
      </c>
    </row>
    <row r="401" spans="1:24" x14ac:dyDescent="0.35">
      <c r="A401">
        <v>100400</v>
      </c>
      <c r="B401" s="1">
        <v>46141</v>
      </c>
      <c r="C401" t="s">
        <v>50</v>
      </c>
      <c r="D401" t="s">
        <v>51</v>
      </c>
      <c r="E401" t="s">
        <v>18</v>
      </c>
      <c r="F401" t="s">
        <v>19</v>
      </c>
      <c r="G401" t="s">
        <v>20</v>
      </c>
      <c r="H401" t="s">
        <v>111</v>
      </c>
      <c r="I401" t="s">
        <v>22</v>
      </c>
      <c r="J401">
        <v>1</v>
      </c>
      <c r="K401">
        <v>58000</v>
      </c>
      <c r="L401">
        <v>0</v>
      </c>
      <c r="M401">
        <v>58000</v>
      </c>
      <c r="N401">
        <v>39000</v>
      </c>
      <c r="O401" t="s">
        <v>23</v>
      </c>
      <c r="P401" t="s">
        <v>84</v>
      </c>
      <c r="Q401">
        <f t="shared" si="48"/>
        <v>58000</v>
      </c>
      <c r="R401">
        <f t="shared" si="49"/>
        <v>0</v>
      </c>
      <c r="S401">
        <f t="shared" si="50"/>
        <v>39000</v>
      </c>
      <c r="T401">
        <f t="shared" si="51"/>
        <v>19000</v>
      </c>
      <c r="U401">
        <f t="shared" si="52"/>
        <v>6</v>
      </c>
      <c r="V401" t="b">
        <f t="shared" si="53"/>
        <v>0</v>
      </c>
      <c r="W401">
        <f t="shared" si="54"/>
        <v>4</v>
      </c>
      <c r="X401" t="b">
        <f t="shared" si="55"/>
        <v>0</v>
      </c>
    </row>
    <row r="402" spans="1:24" x14ac:dyDescent="0.35">
      <c r="A402">
        <v>100401</v>
      </c>
      <c r="B402" s="1">
        <v>46168</v>
      </c>
      <c r="C402" t="s">
        <v>50</v>
      </c>
      <c r="D402" t="s">
        <v>51</v>
      </c>
      <c r="E402" t="s">
        <v>37</v>
      </c>
      <c r="F402" t="s">
        <v>27</v>
      </c>
      <c r="G402" t="s">
        <v>28</v>
      </c>
      <c r="H402" t="s">
        <v>173</v>
      </c>
      <c r="I402" t="s">
        <v>30</v>
      </c>
      <c r="J402">
        <v>3</v>
      </c>
      <c r="K402">
        <v>165000</v>
      </c>
      <c r="L402">
        <v>0</v>
      </c>
      <c r="M402">
        <v>495000</v>
      </c>
      <c r="N402">
        <v>112000</v>
      </c>
      <c r="O402" t="s">
        <v>76</v>
      </c>
      <c r="P402" t="s">
        <v>54</v>
      </c>
      <c r="Q402">
        <f t="shared" si="48"/>
        <v>495000</v>
      </c>
      <c r="R402">
        <f t="shared" si="49"/>
        <v>0</v>
      </c>
      <c r="S402">
        <f t="shared" si="50"/>
        <v>336000</v>
      </c>
      <c r="T402">
        <f t="shared" si="51"/>
        <v>159000</v>
      </c>
      <c r="U402">
        <f t="shared" si="52"/>
        <v>6</v>
      </c>
      <c r="V402" t="b">
        <f t="shared" si="53"/>
        <v>0</v>
      </c>
      <c r="W402">
        <f t="shared" si="54"/>
        <v>11</v>
      </c>
      <c r="X402" t="b">
        <f t="shared" si="55"/>
        <v>0</v>
      </c>
    </row>
    <row r="403" spans="1:24" x14ac:dyDescent="0.35">
      <c r="A403">
        <v>100402</v>
      </c>
      <c r="B403" s="1">
        <v>46043</v>
      </c>
      <c r="C403" t="s">
        <v>50</v>
      </c>
      <c r="D403" t="s">
        <v>51</v>
      </c>
      <c r="E403" t="s">
        <v>18</v>
      </c>
      <c r="F403" t="s">
        <v>27</v>
      </c>
      <c r="G403" t="s">
        <v>28</v>
      </c>
      <c r="H403" t="s">
        <v>154</v>
      </c>
      <c r="I403" t="s">
        <v>30</v>
      </c>
      <c r="J403">
        <v>1</v>
      </c>
      <c r="K403">
        <v>165000</v>
      </c>
      <c r="L403">
        <v>0.1</v>
      </c>
      <c r="M403">
        <v>148500</v>
      </c>
      <c r="N403">
        <v>112000</v>
      </c>
      <c r="O403" t="s">
        <v>23</v>
      </c>
      <c r="P403" t="s">
        <v>84</v>
      </c>
      <c r="Q403">
        <f t="shared" si="48"/>
        <v>148500</v>
      </c>
      <c r="R403">
        <f t="shared" si="49"/>
        <v>0</v>
      </c>
      <c r="S403">
        <f t="shared" si="50"/>
        <v>112000</v>
      </c>
      <c r="T403">
        <f t="shared" si="51"/>
        <v>36500</v>
      </c>
      <c r="U403">
        <f t="shared" si="52"/>
        <v>6</v>
      </c>
      <c r="V403" t="b">
        <f t="shared" si="53"/>
        <v>0</v>
      </c>
      <c r="W403">
        <f t="shared" si="54"/>
        <v>11</v>
      </c>
      <c r="X403" t="b">
        <f t="shared" si="55"/>
        <v>0</v>
      </c>
    </row>
    <row r="404" spans="1:24" x14ac:dyDescent="0.35">
      <c r="A404">
        <v>100403</v>
      </c>
      <c r="B404" s="1">
        <v>46136</v>
      </c>
      <c r="C404" t="s">
        <v>55</v>
      </c>
      <c r="D404" t="s">
        <v>56</v>
      </c>
      <c r="E404" t="s">
        <v>43</v>
      </c>
      <c r="F404" t="s">
        <v>19</v>
      </c>
      <c r="G404" t="s">
        <v>52</v>
      </c>
      <c r="H404" t="s">
        <v>160</v>
      </c>
      <c r="I404" t="s">
        <v>22</v>
      </c>
      <c r="J404">
        <v>3</v>
      </c>
      <c r="K404">
        <v>42000</v>
      </c>
      <c r="L404">
        <v>0.05</v>
      </c>
      <c r="M404">
        <v>95760</v>
      </c>
      <c r="N404">
        <v>28000</v>
      </c>
      <c r="O404" t="s">
        <v>23</v>
      </c>
      <c r="P404" t="s">
        <v>54</v>
      </c>
      <c r="Q404">
        <f t="shared" si="48"/>
        <v>119700</v>
      </c>
      <c r="R404">
        <f t="shared" si="49"/>
        <v>-23940</v>
      </c>
      <c r="S404">
        <f t="shared" si="50"/>
        <v>84000</v>
      </c>
      <c r="T404">
        <f t="shared" si="51"/>
        <v>35700</v>
      </c>
      <c r="U404">
        <f t="shared" si="52"/>
        <v>13</v>
      </c>
      <c r="V404" t="b">
        <f t="shared" si="53"/>
        <v>0</v>
      </c>
      <c r="W404">
        <f t="shared" si="54"/>
        <v>4</v>
      </c>
      <c r="X404" t="b">
        <f t="shared" si="55"/>
        <v>0</v>
      </c>
    </row>
    <row r="405" spans="1:24" x14ac:dyDescent="0.35">
      <c r="A405">
        <v>100404</v>
      </c>
      <c r="B405" s="1">
        <v>46164</v>
      </c>
      <c r="C405" t="s">
        <v>35</v>
      </c>
      <c r="D405" t="s">
        <v>36</v>
      </c>
      <c r="E405" t="s">
        <v>37</v>
      </c>
      <c r="F405" t="s">
        <v>19</v>
      </c>
      <c r="G405" t="s">
        <v>52</v>
      </c>
      <c r="H405" t="s">
        <v>68</v>
      </c>
      <c r="I405" t="s">
        <v>30</v>
      </c>
      <c r="J405">
        <v>1</v>
      </c>
      <c r="K405">
        <v>42000</v>
      </c>
      <c r="L405">
        <v>0</v>
      </c>
      <c r="M405">
        <v>42000</v>
      </c>
      <c r="N405">
        <v>28000</v>
      </c>
      <c r="O405" t="s">
        <v>23</v>
      </c>
      <c r="P405" t="s">
        <v>54</v>
      </c>
      <c r="Q405">
        <f t="shared" si="48"/>
        <v>42000</v>
      </c>
      <c r="R405">
        <f t="shared" si="49"/>
        <v>0</v>
      </c>
      <c r="S405">
        <f t="shared" si="50"/>
        <v>28000</v>
      </c>
      <c r="T405">
        <f t="shared" si="51"/>
        <v>14000</v>
      </c>
      <c r="U405">
        <f t="shared" si="52"/>
        <v>4</v>
      </c>
      <c r="V405" t="b">
        <f t="shared" si="53"/>
        <v>0</v>
      </c>
      <c r="W405">
        <f t="shared" si="54"/>
        <v>4</v>
      </c>
      <c r="X405" t="b">
        <f t="shared" si="55"/>
        <v>0</v>
      </c>
    </row>
    <row r="406" spans="1:24" x14ac:dyDescent="0.35">
      <c r="A406">
        <v>100405</v>
      </c>
      <c r="B406" s="1">
        <v>46152</v>
      </c>
      <c r="C406" t="s">
        <v>55</v>
      </c>
      <c r="D406" t="s">
        <v>56</v>
      </c>
      <c r="E406" t="s">
        <v>37</v>
      </c>
      <c r="F406" t="s">
        <v>19</v>
      </c>
      <c r="G406" t="s">
        <v>52</v>
      </c>
      <c r="H406" t="s">
        <v>208</v>
      </c>
      <c r="I406" t="s">
        <v>22</v>
      </c>
      <c r="J406">
        <v>3</v>
      </c>
      <c r="K406">
        <v>42000</v>
      </c>
      <c r="L406">
        <v>0</v>
      </c>
      <c r="M406">
        <v>126000</v>
      </c>
      <c r="N406">
        <v>28000</v>
      </c>
      <c r="O406" t="s">
        <v>76</v>
      </c>
      <c r="P406" t="s">
        <v>40</v>
      </c>
      <c r="Q406">
        <f t="shared" si="48"/>
        <v>126000</v>
      </c>
      <c r="R406">
        <f t="shared" si="49"/>
        <v>0</v>
      </c>
      <c r="S406">
        <f t="shared" si="50"/>
        <v>84000</v>
      </c>
      <c r="T406">
        <f t="shared" si="51"/>
        <v>42000</v>
      </c>
      <c r="U406">
        <f t="shared" si="52"/>
        <v>13</v>
      </c>
      <c r="V406" t="b">
        <f t="shared" si="53"/>
        <v>0</v>
      </c>
      <c r="W406">
        <f t="shared" si="54"/>
        <v>4</v>
      </c>
      <c r="X406" t="b">
        <f t="shared" si="55"/>
        <v>0</v>
      </c>
    </row>
    <row r="407" spans="1:24" x14ac:dyDescent="0.35">
      <c r="A407">
        <v>100406</v>
      </c>
      <c r="B407" s="1">
        <v>46214</v>
      </c>
      <c r="C407" t="s">
        <v>16</v>
      </c>
      <c r="D407" t="s">
        <v>17</v>
      </c>
      <c r="E407" t="s">
        <v>37</v>
      </c>
      <c r="F407" t="s">
        <v>27</v>
      </c>
      <c r="G407" t="s">
        <v>38</v>
      </c>
      <c r="H407" t="s">
        <v>217</v>
      </c>
      <c r="I407" t="s">
        <v>22</v>
      </c>
      <c r="J407">
        <v>1</v>
      </c>
      <c r="K407">
        <v>26000</v>
      </c>
      <c r="L407">
        <v>0</v>
      </c>
      <c r="M407">
        <v>26000</v>
      </c>
      <c r="N407">
        <v>15000</v>
      </c>
      <c r="O407" t="s">
        <v>23</v>
      </c>
      <c r="P407" t="s">
        <v>64</v>
      </c>
      <c r="Q407">
        <f t="shared" si="48"/>
        <v>26000</v>
      </c>
      <c r="R407">
        <f t="shared" si="49"/>
        <v>0</v>
      </c>
      <c r="S407">
        <f t="shared" si="50"/>
        <v>15000</v>
      </c>
      <c r="T407">
        <f t="shared" si="51"/>
        <v>11000</v>
      </c>
      <c r="U407">
        <f t="shared" si="52"/>
        <v>5</v>
      </c>
      <c r="V407" t="b">
        <f t="shared" si="53"/>
        <v>0</v>
      </c>
      <c r="W407">
        <f t="shared" si="54"/>
        <v>11</v>
      </c>
      <c r="X407" t="b">
        <f t="shared" si="55"/>
        <v>0</v>
      </c>
    </row>
    <row r="408" spans="1:24" x14ac:dyDescent="0.35">
      <c r="A408">
        <v>100407</v>
      </c>
      <c r="B408" s="1">
        <v>46222</v>
      </c>
      <c r="C408" t="s">
        <v>42</v>
      </c>
      <c r="D408" t="s">
        <v>26</v>
      </c>
      <c r="E408" t="s">
        <v>43</v>
      </c>
      <c r="F408" t="s">
        <v>27</v>
      </c>
      <c r="G408" t="s">
        <v>33</v>
      </c>
      <c r="H408" t="s">
        <v>201</v>
      </c>
      <c r="I408" t="s">
        <v>30</v>
      </c>
      <c r="J408">
        <v>2</v>
      </c>
      <c r="K408">
        <v>32000</v>
      </c>
      <c r="L408">
        <v>0.1</v>
      </c>
      <c r="M408">
        <v>57600</v>
      </c>
      <c r="N408">
        <v>19000</v>
      </c>
      <c r="O408" t="s">
        <v>23</v>
      </c>
      <c r="P408" t="s">
        <v>31</v>
      </c>
      <c r="Q408">
        <f t="shared" si="48"/>
        <v>57600</v>
      </c>
      <c r="R408">
        <f t="shared" si="49"/>
        <v>0</v>
      </c>
      <c r="S408">
        <f t="shared" si="50"/>
        <v>38000</v>
      </c>
      <c r="T408">
        <f t="shared" si="51"/>
        <v>19600</v>
      </c>
      <c r="U408">
        <f t="shared" si="52"/>
        <v>5</v>
      </c>
      <c r="V408" t="b">
        <f t="shared" si="53"/>
        <v>0</v>
      </c>
      <c r="W408">
        <f t="shared" si="54"/>
        <v>11</v>
      </c>
      <c r="X408" t="b">
        <f t="shared" si="55"/>
        <v>0</v>
      </c>
    </row>
    <row r="409" spans="1:24" x14ac:dyDescent="0.35">
      <c r="A409">
        <v>100408</v>
      </c>
      <c r="B409" s="1">
        <v>46139</v>
      </c>
      <c r="C409" t="s">
        <v>35</v>
      </c>
      <c r="D409" t="s">
        <v>36</v>
      </c>
      <c r="E409" t="s">
        <v>37</v>
      </c>
      <c r="F409" t="s">
        <v>27</v>
      </c>
      <c r="G409" t="s">
        <v>28</v>
      </c>
      <c r="H409" t="s">
        <v>93</v>
      </c>
      <c r="I409" t="s">
        <v>30</v>
      </c>
      <c r="J409">
        <v>1</v>
      </c>
      <c r="K409">
        <v>165000</v>
      </c>
      <c r="L409">
        <v>0.15</v>
      </c>
      <c r="M409">
        <v>140250</v>
      </c>
      <c r="N409">
        <v>112000</v>
      </c>
      <c r="O409" t="s">
        <v>23</v>
      </c>
      <c r="P409" t="s">
        <v>31</v>
      </c>
      <c r="Q409">
        <f t="shared" si="48"/>
        <v>140250</v>
      </c>
      <c r="R409">
        <f t="shared" si="49"/>
        <v>0</v>
      </c>
      <c r="S409">
        <f t="shared" si="50"/>
        <v>112000</v>
      </c>
      <c r="T409">
        <f t="shared" si="51"/>
        <v>28250</v>
      </c>
      <c r="U409">
        <f t="shared" si="52"/>
        <v>4</v>
      </c>
      <c r="V409" t="b">
        <f t="shared" si="53"/>
        <v>0</v>
      </c>
      <c r="W409">
        <f t="shared" si="54"/>
        <v>11</v>
      </c>
      <c r="X409" t="b">
        <f t="shared" si="55"/>
        <v>0</v>
      </c>
    </row>
    <row r="410" spans="1:24" x14ac:dyDescent="0.35">
      <c r="A410">
        <v>100409</v>
      </c>
      <c r="B410" s="1">
        <v>46180</v>
      </c>
      <c r="C410" t="s">
        <v>35</v>
      </c>
      <c r="D410" t="s">
        <v>36</v>
      </c>
      <c r="E410" t="s">
        <v>37</v>
      </c>
      <c r="F410" t="s">
        <v>44</v>
      </c>
      <c r="G410" t="s">
        <v>45</v>
      </c>
      <c r="H410" t="s">
        <v>96</v>
      </c>
      <c r="I410" t="s">
        <v>30</v>
      </c>
      <c r="J410">
        <v>2</v>
      </c>
      <c r="K410">
        <v>6500</v>
      </c>
      <c r="L410">
        <v>0.1</v>
      </c>
      <c r="M410">
        <v>11700</v>
      </c>
      <c r="N410" s="4">
        <v>2200</v>
      </c>
      <c r="O410" t="s">
        <v>23</v>
      </c>
      <c r="P410" t="s">
        <v>47</v>
      </c>
      <c r="Q410">
        <f t="shared" si="48"/>
        <v>11700</v>
      </c>
      <c r="R410">
        <f t="shared" si="49"/>
        <v>0</v>
      </c>
      <c r="S410">
        <f t="shared" si="50"/>
        <v>4400</v>
      </c>
      <c r="T410">
        <f t="shared" si="51"/>
        <v>7300</v>
      </c>
      <c r="U410">
        <f t="shared" si="52"/>
        <v>4</v>
      </c>
      <c r="V410" t="b">
        <f t="shared" si="53"/>
        <v>0</v>
      </c>
      <c r="W410">
        <f t="shared" si="54"/>
        <v>11</v>
      </c>
      <c r="X410" t="b">
        <f t="shared" si="55"/>
        <v>0</v>
      </c>
    </row>
    <row r="411" spans="1:24" x14ac:dyDescent="0.35">
      <c r="A411">
        <v>100410</v>
      </c>
      <c r="B411" s="1">
        <v>46137</v>
      </c>
      <c r="C411" t="s">
        <v>55</v>
      </c>
      <c r="D411" t="s">
        <v>56</v>
      </c>
      <c r="E411" t="s">
        <v>18</v>
      </c>
      <c r="F411" t="s">
        <v>27</v>
      </c>
      <c r="G411" t="s">
        <v>33</v>
      </c>
      <c r="H411" t="s">
        <v>124</v>
      </c>
      <c r="I411" t="s">
        <v>30</v>
      </c>
      <c r="J411">
        <v>1</v>
      </c>
      <c r="K411">
        <v>32000</v>
      </c>
      <c r="L411">
        <v>0.15</v>
      </c>
      <c r="M411">
        <v>27200</v>
      </c>
      <c r="N411">
        <v>19000</v>
      </c>
      <c r="O411" t="s">
        <v>23</v>
      </c>
      <c r="P411" t="s">
        <v>40</v>
      </c>
      <c r="Q411">
        <f t="shared" si="48"/>
        <v>27200</v>
      </c>
      <c r="R411">
        <f t="shared" si="49"/>
        <v>0</v>
      </c>
      <c r="S411">
        <f t="shared" si="50"/>
        <v>19000</v>
      </c>
      <c r="T411">
        <f t="shared" si="51"/>
        <v>8200</v>
      </c>
      <c r="U411">
        <f t="shared" si="52"/>
        <v>13</v>
      </c>
      <c r="V411" t="b">
        <f t="shared" si="53"/>
        <v>0</v>
      </c>
      <c r="W411">
        <f t="shared" si="54"/>
        <v>11</v>
      </c>
      <c r="X411" t="b">
        <f t="shared" si="55"/>
        <v>0</v>
      </c>
    </row>
    <row r="412" spans="1:24" x14ac:dyDescent="0.35">
      <c r="A412">
        <v>100411</v>
      </c>
      <c r="B412" s="1">
        <v>46080</v>
      </c>
      <c r="C412" t="s">
        <v>32</v>
      </c>
      <c r="D412" t="s">
        <v>17</v>
      </c>
      <c r="E412" t="s">
        <v>37</v>
      </c>
      <c r="F412" t="s">
        <v>19</v>
      </c>
      <c r="G412" t="s">
        <v>20</v>
      </c>
      <c r="H412" t="s">
        <v>225</v>
      </c>
      <c r="I412" t="s">
        <v>30</v>
      </c>
      <c r="J412">
        <v>2</v>
      </c>
      <c r="K412">
        <v>58000</v>
      </c>
      <c r="L412">
        <v>0.2</v>
      </c>
      <c r="M412">
        <v>92800</v>
      </c>
      <c r="N412">
        <v>39000</v>
      </c>
      <c r="O412" t="s">
        <v>76</v>
      </c>
      <c r="P412" t="s">
        <v>31</v>
      </c>
      <c r="Q412">
        <f t="shared" si="48"/>
        <v>92800</v>
      </c>
      <c r="R412">
        <f t="shared" si="49"/>
        <v>0</v>
      </c>
      <c r="S412">
        <f t="shared" si="50"/>
        <v>78000</v>
      </c>
      <c r="T412">
        <f t="shared" si="51"/>
        <v>14800</v>
      </c>
      <c r="U412">
        <f t="shared" si="52"/>
        <v>5</v>
      </c>
      <c r="V412" t="b">
        <f t="shared" si="53"/>
        <v>0</v>
      </c>
      <c r="W412">
        <f t="shared" si="54"/>
        <v>4</v>
      </c>
      <c r="X412" t="b">
        <f t="shared" si="55"/>
        <v>0</v>
      </c>
    </row>
    <row r="413" spans="1:24" x14ac:dyDescent="0.35">
      <c r="A413">
        <v>100412</v>
      </c>
      <c r="B413" s="1">
        <v>46194</v>
      </c>
      <c r="C413" t="s">
        <v>50</v>
      </c>
      <c r="D413" t="s">
        <v>51</v>
      </c>
      <c r="E413" t="s">
        <v>37</v>
      </c>
      <c r="F413" t="s">
        <v>27</v>
      </c>
      <c r="G413" t="s">
        <v>28</v>
      </c>
      <c r="H413" t="s">
        <v>77</v>
      </c>
      <c r="I413" t="s">
        <v>30</v>
      </c>
      <c r="J413">
        <v>5</v>
      </c>
      <c r="K413">
        <v>165000</v>
      </c>
      <c r="L413">
        <v>0.1</v>
      </c>
      <c r="M413">
        <v>742500</v>
      </c>
      <c r="N413">
        <v>112000</v>
      </c>
      <c r="O413" t="s">
        <v>23</v>
      </c>
      <c r="P413" t="s">
        <v>84</v>
      </c>
      <c r="Q413">
        <f t="shared" si="48"/>
        <v>742500</v>
      </c>
      <c r="R413">
        <f t="shared" si="49"/>
        <v>0</v>
      </c>
      <c r="S413">
        <f t="shared" si="50"/>
        <v>560000</v>
      </c>
      <c r="T413">
        <f t="shared" si="51"/>
        <v>182500</v>
      </c>
      <c r="U413">
        <f t="shared" si="52"/>
        <v>6</v>
      </c>
      <c r="V413" t="b">
        <f t="shared" si="53"/>
        <v>0</v>
      </c>
      <c r="W413">
        <f t="shared" si="54"/>
        <v>11</v>
      </c>
      <c r="X413" t="b">
        <f t="shared" si="55"/>
        <v>0</v>
      </c>
    </row>
    <row r="414" spans="1:24" x14ac:dyDescent="0.35">
      <c r="A414">
        <v>100413</v>
      </c>
      <c r="B414" s="1">
        <v>46177</v>
      </c>
      <c r="C414" t="s">
        <v>55</v>
      </c>
      <c r="D414" t="s">
        <v>56</v>
      </c>
      <c r="E414" t="s">
        <v>43</v>
      </c>
      <c r="F414" t="s">
        <v>19</v>
      </c>
      <c r="G414" t="s">
        <v>20</v>
      </c>
      <c r="H414" t="s">
        <v>97</v>
      </c>
      <c r="I414" t="s">
        <v>22</v>
      </c>
      <c r="J414">
        <v>2</v>
      </c>
      <c r="K414">
        <v>58000</v>
      </c>
      <c r="L414">
        <v>0</v>
      </c>
      <c r="M414">
        <v>116000</v>
      </c>
      <c r="N414">
        <v>39000</v>
      </c>
      <c r="O414" t="s">
        <v>23</v>
      </c>
      <c r="P414" t="s">
        <v>24</v>
      </c>
      <c r="Q414">
        <f t="shared" si="48"/>
        <v>116000</v>
      </c>
      <c r="R414">
        <f t="shared" si="49"/>
        <v>0</v>
      </c>
      <c r="S414">
        <f t="shared" si="50"/>
        <v>78000</v>
      </c>
      <c r="T414">
        <f t="shared" si="51"/>
        <v>38000</v>
      </c>
      <c r="U414">
        <f t="shared" si="52"/>
        <v>13</v>
      </c>
      <c r="V414" t="b">
        <f t="shared" si="53"/>
        <v>0</v>
      </c>
      <c r="W414">
        <f t="shared" si="54"/>
        <v>4</v>
      </c>
      <c r="X414" t="b">
        <f t="shared" si="55"/>
        <v>0</v>
      </c>
    </row>
    <row r="415" spans="1:24" x14ac:dyDescent="0.35">
      <c r="A415">
        <v>100414</v>
      </c>
      <c r="B415" s="1">
        <v>46096</v>
      </c>
      <c r="C415" t="s">
        <v>50</v>
      </c>
      <c r="D415" t="s">
        <v>51</v>
      </c>
      <c r="E415" t="s">
        <v>43</v>
      </c>
      <c r="F415" t="s">
        <v>19</v>
      </c>
      <c r="G415" t="s">
        <v>52</v>
      </c>
      <c r="H415" t="s">
        <v>182</v>
      </c>
      <c r="I415" t="s">
        <v>30</v>
      </c>
      <c r="J415">
        <v>1</v>
      </c>
      <c r="K415">
        <v>42000</v>
      </c>
      <c r="L415">
        <v>0.1</v>
      </c>
      <c r="M415">
        <v>37800</v>
      </c>
      <c r="N415">
        <v>28000</v>
      </c>
      <c r="O415" t="s">
        <v>23</v>
      </c>
      <c r="P415" t="s">
        <v>84</v>
      </c>
      <c r="Q415">
        <f t="shared" si="48"/>
        <v>37800</v>
      </c>
      <c r="R415">
        <f t="shared" si="49"/>
        <v>0</v>
      </c>
      <c r="S415">
        <f t="shared" si="50"/>
        <v>28000</v>
      </c>
      <c r="T415">
        <f t="shared" si="51"/>
        <v>9800</v>
      </c>
      <c r="U415">
        <f t="shared" si="52"/>
        <v>6</v>
      </c>
      <c r="V415" t="b">
        <f t="shared" si="53"/>
        <v>0</v>
      </c>
      <c r="W415">
        <f t="shared" si="54"/>
        <v>4</v>
      </c>
      <c r="X415" t="b">
        <f t="shared" si="55"/>
        <v>0</v>
      </c>
    </row>
    <row r="416" spans="1:24" x14ac:dyDescent="0.35">
      <c r="A416">
        <v>100415</v>
      </c>
      <c r="B416" s="1">
        <v>46119</v>
      </c>
      <c r="C416" t="s">
        <v>25</v>
      </c>
      <c r="D416" t="s">
        <v>26</v>
      </c>
      <c r="E416" t="s">
        <v>43</v>
      </c>
      <c r="F416" t="s">
        <v>44</v>
      </c>
      <c r="G416" t="s">
        <v>45</v>
      </c>
      <c r="H416" t="s">
        <v>119</v>
      </c>
      <c r="I416" t="s">
        <v>30</v>
      </c>
      <c r="J416">
        <v>2</v>
      </c>
      <c r="K416">
        <v>6500</v>
      </c>
      <c r="L416">
        <v>0.05</v>
      </c>
      <c r="M416">
        <v>12350</v>
      </c>
      <c r="N416">
        <v>2200</v>
      </c>
      <c r="O416" t="s">
        <v>23</v>
      </c>
      <c r="P416" t="s">
        <v>47</v>
      </c>
      <c r="Q416">
        <f t="shared" si="48"/>
        <v>12350</v>
      </c>
      <c r="R416">
        <f t="shared" si="49"/>
        <v>0</v>
      </c>
      <c r="S416">
        <f t="shared" si="50"/>
        <v>4400</v>
      </c>
      <c r="T416">
        <f t="shared" si="51"/>
        <v>7950</v>
      </c>
      <c r="U416">
        <f t="shared" si="52"/>
        <v>5</v>
      </c>
      <c r="V416" t="b">
        <f t="shared" si="53"/>
        <v>0</v>
      </c>
      <c r="W416">
        <f t="shared" si="54"/>
        <v>11</v>
      </c>
      <c r="X416" t="b">
        <f t="shared" si="55"/>
        <v>0</v>
      </c>
    </row>
    <row r="417" spans="1:24" x14ac:dyDescent="0.35">
      <c r="A417">
        <v>100416</v>
      </c>
      <c r="B417" s="1">
        <v>46028</v>
      </c>
      <c r="C417" t="s">
        <v>55</v>
      </c>
      <c r="D417" t="s">
        <v>56</v>
      </c>
      <c r="E417" t="s">
        <v>18</v>
      </c>
      <c r="F417" t="s">
        <v>27</v>
      </c>
      <c r="G417" t="s">
        <v>38</v>
      </c>
      <c r="H417" t="s">
        <v>237</v>
      </c>
      <c r="I417" t="s">
        <v>22</v>
      </c>
      <c r="J417">
        <v>4</v>
      </c>
      <c r="K417">
        <v>26000</v>
      </c>
      <c r="L417">
        <v>0</v>
      </c>
      <c r="M417">
        <v>104000</v>
      </c>
      <c r="N417">
        <v>15000</v>
      </c>
      <c r="O417" t="s">
        <v>76</v>
      </c>
      <c r="P417" t="s">
        <v>58</v>
      </c>
      <c r="Q417">
        <f t="shared" si="48"/>
        <v>104000</v>
      </c>
      <c r="R417">
        <f t="shared" si="49"/>
        <v>0</v>
      </c>
      <c r="S417">
        <f t="shared" si="50"/>
        <v>60000</v>
      </c>
      <c r="T417">
        <f t="shared" si="51"/>
        <v>44000</v>
      </c>
      <c r="U417">
        <f t="shared" si="52"/>
        <v>13</v>
      </c>
      <c r="V417" t="b">
        <f t="shared" si="53"/>
        <v>0</v>
      </c>
      <c r="W417">
        <f t="shared" si="54"/>
        <v>11</v>
      </c>
      <c r="X417" t="b">
        <f t="shared" si="55"/>
        <v>0</v>
      </c>
    </row>
    <row r="418" spans="1:24" x14ac:dyDescent="0.35">
      <c r="A418">
        <v>100417</v>
      </c>
      <c r="B418" s="1">
        <v>46066</v>
      </c>
      <c r="C418" t="s">
        <v>55</v>
      </c>
      <c r="D418" t="s">
        <v>56</v>
      </c>
      <c r="E418" t="s">
        <v>37</v>
      </c>
      <c r="F418" t="s">
        <v>27</v>
      </c>
      <c r="G418" t="s">
        <v>28</v>
      </c>
      <c r="H418" t="s">
        <v>204</v>
      </c>
      <c r="I418" t="s">
        <v>30</v>
      </c>
      <c r="J418">
        <v>4</v>
      </c>
      <c r="K418">
        <v>165000</v>
      </c>
      <c r="L418">
        <v>0.1</v>
      </c>
      <c r="M418">
        <v>594000</v>
      </c>
      <c r="N418">
        <v>112000</v>
      </c>
      <c r="O418" t="s">
        <v>23</v>
      </c>
      <c r="P418" t="s">
        <v>47</v>
      </c>
      <c r="Q418">
        <f t="shared" si="48"/>
        <v>594000</v>
      </c>
      <c r="R418">
        <f t="shared" si="49"/>
        <v>0</v>
      </c>
      <c r="S418">
        <f t="shared" si="50"/>
        <v>448000</v>
      </c>
      <c r="T418">
        <f t="shared" si="51"/>
        <v>146000</v>
      </c>
      <c r="U418">
        <f t="shared" si="52"/>
        <v>13</v>
      </c>
      <c r="V418" t="b">
        <f t="shared" si="53"/>
        <v>0</v>
      </c>
      <c r="W418">
        <f t="shared" si="54"/>
        <v>11</v>
      </c>
      <c r="X418" t="b">
        <f t="shared" si="55"/>
        <v>0</v>
      </c>
    </row>
    <row r="419" spans="1:24" x14ac:dyDescent="0.35">
      <c r="A419">
        <v>100418</v>
      </c>
      <c r="B419" s="1">
        <v>46214</v>
      </c>
      <c r="C419" t="s">
        <v>55</v>
      </c>
      <c r="D419" t="s">
        <v>56</v>
      </c>
      <c r="E419" t="s">
        <v>43</v>
      </c>
      <c r="F419" t="s">
        <v>27</v>
      </c>
      <c r="G419" t="s">
        <v>38</v>
      </c>
      <c r="H419" t="s">
        <v>163</v>
      </c>
      <c r="I419" t="s">
        <v>30</v>
      </c>
      <c r="J419">
        <v>3</v>
      </c>
      <c r="K419">
        <v>26000</v>
      </c>
      <c r="L419">
        <v>0</v>
      </c>
      <c r="M419">
        <v>78000</v>
      </c>
      <c r="N419">
        <v>15000</v>
      </c>
      <c r="O419" t="s">
        <v>23</v>
      </c>
      <c r="P419" t="s">
        <v>24</v>
      </c>
      <c r="Q419">
        <f t="shared" si="48"/>
        <v>78000</v>
      </c>
      <c r="R419">
        <f t="shared" si="49"/>
        <v>0</v>
      </c>
      <c r="S419">
        <f t="shared" si="50"/>
        <v>45000</v>
      </c>
      <c r="T419">
        <f t="shared" si="51"/>
        <v>33000</v>
      </c>
      <c r="U419">
        <f t="shared" si="52"/>
        <v>13</v>
      </c>
      <c r="V419" t="b">
        <f t="shared" si="53"/>
        <v>0</v>
      </c>
      <c r="W419">
        <f t="shared" si="54"/>
        <v>11</v>
      </c>
      <c r="X419" t="b">
        <f t="shared" si="55"/>
        <v>0</v>
      </c>
    </row>
    <row r="420" spans="1:24" x14ac:dyDescent="0.35">
      <c r="A420">
        <v>100419</v>
      </c>
      <c r="B420" s="1">
        <v>46256</v>
      </c>
      <c r="C420" t="s">
        <v>55</v>
      </c>
      <c r="D420" t="s">
        <v>56</v>
      </c>
      <c r="E420" t="s">
        <v>43</v>
      </c>
      <c r="F420" t="s">
        <v>19</v>
      </c>
      <c r="G420" t="s">
        <v>20</v>
      </c>
      <c r="H420" t="s">
        <v>238</v>
      </c>
      <c r="I420" t="s">
        <v>30</v>
      </c>
      <c r="J420">
        <v>4</v>
      </c>
      <c r="K420">
        <v>58000</v>
      </c>
      <c r="L420">
        <v>0.05</v>
      </c>
      <c r="M420">
        <v>220400</v>
      </c>
      <c r="N420">
        <v>39000</v>
      </c>
      <c r="O420" t="s">
        <v>23</v>
      </c>
      <c r="P420" t="s">
        <v>64</v>
      </c>
      <c r="Q420">
        <f t="shared" si="48"/>
        <v>220400</v>
      </c>
      <c r="R420">
        <f t="shared" si="49"/>
        <v>0</v>
      </c>
      <c r="S420">
        <f t="shared" si="50"/>
        <v>156000</v>
      </c>
      <c r="T420">
        <f t="shared" si="51"/>
        <v>64400</v>
      </c>
      <c r="U420">
        <f t="shared" si="52"/>
        <v>13</v>
      </c>
      <c r="V420" t="b">
        <f t="shared" si="53"/>
        <v>0</v>
      </c>
      <c r="W420">
        <f t="shared" si="54"/>
        <v>4</v>
      </c>
      <c r="X420" t="b">
        <f t="shared" si="55"/>
        <v>0</v>
      </c>
    </row>
    <row r="421" spans="1:24" x14ac:dyDescent="0.35">
      <c r="A421">
        <v>100420</v>
      </c>
      <c r="B421" s="1">
        <v>46079</v>
      </c>
      <c r="C421" t="s">
        <v>35</v>
      </c>
      <c r="D421" t="s">
        <v>36</v>
      </c>
      <c r="E421" t="s">
        <v>18</v>
      </c>
      <c r="F421" t="s">
        <v>27</v>
      </c>
      <c r="G421" t="s">
        <v>28</v>
      </c>
      <c r="H421" t="s">
        <v>86</v>
      </c>
      <c r="I421" t="s">
        <v>30</v>
      </c>
      <c r="J421">
        <v>2</v>
      </c>
      <c r="K421">
        <v>165000</v>
      </c>
      <c r="L421">
        <v>0.05</v>
      </c>
      <c r="M421">
        <v>313500</v>
      </c>
      <c r="N421">
        <v>112000</v>
      </c>
      <c r="O421" t="s">
        <v>23</v>
      </c>
      <c r="P421" t="s">
        <v>64</v>
      </c>
      <c r="Q421">
        <f t="shared" si="48"/>
        <v>313500</v>
      </c>
      <c r="R421">
        <f t="shared" si="49"/>
        <v>0</v>
      </c>
      <c r="S421">
        <f t="shared" si="50"/>
        <v>224000</v>
      </c>
      <c r="T421">
        <f t="shared" si="51"/>
        <v>89500</v>
      </c>
      <c r="U421">
        <f t="shared" si="52"/>
        <v>4</v>
      </c>
      <c r="V421" t="b">
        <f t="shared" si="53"/>
        <v>0</v>
      </c>
      <c r="W421">
        <f t="shared" si="54"/>
        <v>11</v>
      </c>
      <c r="X421" t="b">
        <f t="shared" si="55"/>
        <v>0</v>
      </c>
    </row>
  </sheetData>
  <autoFilter ref="A1:X421" xr:uid="{F83A889A-1B38-4DCF-A20B-70C7116B7383}"/>
  <sortState xmlns:xlrd2="http://schemas.microsoft.com/office/spreadsheetml/2017/richdata2" ref="A2:P433">
    <sortCondition ref="A2:A433"/>
  </sortState>
  <conditionalFormatting sqref="A1:A421 A434:A1048576">
    <cfRule type="duplicateValues" dxfId="1" priority="1"/>
  </conditionalFormatting>
  <conditionalFormatting sqref="A2"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307AF-FD9E-41E6-8309-78597275AF76}">
  <dimension ref="A3:B9"/>
  <sheetViews>
    <sheetView workbookViewId="0">
      <selection activeCell="F10" sqref="F10"/>
    </sheetView>
  </sheetViews>
  <sheetFormatPr defaultRowHeight="14.5" x14ac:dyDescent="0.35"/>
  <cols>
    <col min="1" max="1" width="12.36328125" bestFit="1" customWidth="1"/>
    <col min="2" max="2" width="26.7265625" bestFit="1" customWidth="1"/>
  </cols>
  <sheetData>
    <row r="3" spans="1:2" x14ac:dyDescent="0.35">
      <c r="A3" s="5" t="s">
        <v>268</v>
      </c>
      <c r="B3" t="s">
        <v>270</v>
      </c>
    </row>
    <row r="4" spans="1:2" x14ac:dyDescent="0.35">
      <c r="A4" s="6" t="s">
        <v>17</v>
      </c>
      <c r="B4">
        <v>1698100</v>
      </c>
    </row>
    <row r="5" spans="1:2" x14ac:dyDescent="0.35">
      <c r="A5" s="6" t="s">
        <v>51</v>
      </c>
      <c r="B5">
        <v>2730325</v>
      </c>
    </row>
    <row r="6" spans="1:2" x14ac:dyDescent="0.35">
      <c r="A6" s="6" t="s">
        <v>36</v>
      </c>
      <c r="B6">
        <v>3243600</v>
      </c>
    </row>
    <row r="7" spans="1:2" x14ac:dyDescent="0.35">
      <c r="A7" s="6" t="s">
        <v>26</v>
      </c>
      <c r="B7">
        <v>4579900</v>
      </c>
    </row>
    <row r="8" spans="1:2" x14ac:dyDescent="0.35">
      <c r="A8" s="6" t="s">
        <v>56</v>
      </c>
      <c r="B8">
        <v>2338500</v>
      </c>
    </row>
    <row r="9" spans="1:2" x14ac:dyDescent="0.35">
      <c r="A9" s="6" t="s">
        <v>269</v>
      </c>
      <c r="B9">
        <v>14590425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B603-B319-4AB3-99EE-D2765B7F9101}">
  <dimension ref="A3:B7"/>
  <sheetViews>
    <sheetView workbookViewId="0">
      <selection activeCell="E8" sqref="E8"/>
    </sheetView>
  </sheetViews>
  <sheetFormatPr defaultRowHeight="14.5" x14ac:dyDescent="0.35"/>
  <cols>
    <col min="1" max="1" width="12.36328125" bestFit="1" customWidth="1"/>
    <col min="2" max="2" width="26.7265625" bestFit="1" customWidth="1"/>
  </cols>
  <sheetData>
    <row r="3" spans="1:2" x14ac:dyDescent="0.35">
      <c r="A3" s="5" t="s">
        <v>268</v>
      </c>
      <c r="B3" t="s">
        <v>270</v>
      </c>
    </row>
    <row r="4" spans="1:2" x14ac:dyDescent="0.35">
      <c r="A4" s="6" t="s">
        <v>44</v>
      </c>
      <c r="B4">
        <v>1929625</v>
      </c>
    </row>
    <row r="5" spans="1:2" x14ac:dyDescent="0.35">
      <c r="A5" s="6" t="s">
        <v>27</v>
      </c>
      <c r="B5">
        <v>8986500</v>
      </c>
    </row>
    <row r="6" spans="1:2" x14ac:dyDescent="0.35">
      <c r="A6" s="6" t="s">
        <v>19</v>
      </c>
      <c r="B6">
        <v>3674300</v>
      </c>
    </row>
    <row r="7" spans="1:2" x14ac:dyDescent="0.35">
      <c r="A7" s="6" t="s">
        <v>269</v>
      </c>
      <c r="B7">
        <v>14590425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1CBD8-1A30-45CA-A986-21818F0292EB}">
  <dimension ref="A3:H9"/>
  <sheetViews>
    <sheetView workbookViewId="0">
      <selection activeCell="E19" sqref="E19"/>
    </sheetView>
  </sheetViews>
  <sheetFormatPr defaultRowHeight="14.5" x14ac:dyDescent="0.35"/>
  <cols>
    <col min="1" max="1" width="12.36328125" bestFit="1" customWidth="1"/>
    <col min="2" max="2" width="29.90625" bestFit="1" customWidth="1"/>
    <col min="3" max="3" width="18.7265625" bestFit="1" customWidth="1"/>
    <col min="4" max="4" width="29.90625" bestFit="1" customWidth="1"/>
    <col min="5" max="5" width="18.7265625" bestFit="1" customWidth="1"/>
    <col min="6" max="6" width="34.7265625" bestFit="1" customWidth="1"/>
    <col min="7" max="7" width="23.54296875" bestFit="1" customWidth="1"/>
  </cols>
  <sheetData>
    <row r="3" spans="1:8" x14ac:dyDescent="0.35">
      <c r="B3" s="5" t="s">
        <v>282</v>
      </c>
      <c r="H3" s="8" t="s">
        <v>285</v>
      </c>
    </row>
    <row r="4" spans="1:8" x14ac:dyDescent="0.35">
      <c r="B4" t="s">
        <v>23</v>
      </c>
      <c r="D4" t="s">
        <v>76</v>
      </c>
      <c r="F4" t="s">
        <v>283</v>
      </c>
      <c r="G4" t="s">
        <v>284</v>
      </c>
    </row>
    <row r="5" spans="1:8" x14ac:dyDescent="0.35">
      <c r="A5" s="5" t="s">
        <v>268</v>
      </c>
      <c r="B5" t="s">
        <v>280</v>
      </c>
      <c r="C5" t="s">
        <v>281</v>
      </c>
      <c r="D5" t="s">
        <v>280</v>
      </c>
      <c r="E5" t="s">
        <v>281</v>
      </c>
    </row>
    <row r="6" spans="1:8" x14ac:dyDescent="0.35">
      <c r="A6" s="6" t="s">
        <v>43</v>
      </c>
      <c r="B6">
        <v>34150.661375661373</v>
      </c>
      <c r="C6">
        <v>189</v>
      </c>
      <c r="D6">
        <v>46059.615384615383</v>
      </c>
      <c r="E6">
        <v>13</v>
      </c>
      <c r="F6">
        <v>34917.079207920789</v>
      </c>
      <c r="G6">
        <v>202</v>
      </c>
      <c r="H6" s="7">
        <f>E6/G6</f>
        <v>6.4356435643564358E-2</v>
      </c>
    </row>
    <row r="7" spans="1:8" x14ac:dyDescent="0.35">
      <c r="A7" s="6" t="s">
        <v>37</v>
      </c>
      <c r="B7">
        <v>33524.793388429753</v>
      </c>
      <c r="C7">
        <v>121</v>
      </c>
      <c r="D7">
        <v>29038.461538461539</v>
      </c>
      <c r="E7">
        <v>13</v>
      </c>
      <c r="F7">
        <v>33089.552238805969</v>
      </c>
      <c r="G7">
        <v>134</v>
      </c>
      <c r="H7" s="7">
        <f t="shared" ref="H7:H8" si="0">E7/G7</f>
        <v>9.7014925373134331E-2</v>
      </c>
    </row>
    <row r="8" spans="1:8" x14ac:dyDescent="0.35">
      <c r="A8" s="6" t="s">
        <v>18</v>
      </c>
      <c r="B8">
        <v>35678.04054054054</v>
      </c>
      <c r="C8">
        <v>74</v>
      </c>
      <c r="D8">
        <v>46300</v>
      </c>
      <c r="E8">
        <v>10</v>
      </c>
      <c r="F8">
        <v>36942.559523809527</v>
      </c>
      <c r="G8">
        <v>84</v>
      </c>
      <c r="H8" s="7">
        <f t="shared" si="0"/>
        <v>0.11904761904761904</v>
      </c>
    </row>
    <row r="9" spans="1:8" x14ac:dyDescent="0.35">
      <c r="A9" s="6" t="s">
        <v>269</v>
      </c>
      <c r="B9">
        <v>34247.786458333336</v>
      </c>
      <c r="C9">
        <v>384</v>
      </c>
      <c r="D9">
        <v>39979.861111111109</v>
      </c>
      <c r="E9">
        <v>36</v>
      </c>
      <c r="F9">
        <v>34739.107142857145</v>
      </c>
      <c r="G9">
        <v>420</v>
      </c>
      <c r="H9" s="7">
        <f>E9/G9</f>
        <v>8.5714285714285715E-2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A6CB-612A-4CBF-9812-7F54776A2AAA}">
  <dimension ref="A3:B12"/>
  <sheetViews>
    <sheetView workbookViewId="0">
      <selection activeCell="D6" sqref="D6"/>
    </sheetView>
  </sheetViews>
  <sheetFormatPr defaultRowHeight="14.5" x14ac:dyDescent="0.35"/>
  <cols>
    <col min="1" max="1" width="12.36328125" bestFit="1" customWidth="1"/>
    <col min="2" max="2" width="24.7265625" bestFit="1" customWidth="1"/>
  </cols>
  <sheetData>
    <row r="3" spans="1:2" x14ac:dyDescent="0.35">
      <c r="A3" s="5" t="s">
        <v>268</v>
      </c>
      <c r="B3" t="s">
        <v>294</v>
      </c>
    </row>
    <row r="4" spans="1:2" x14ac:dyDescent="0.35">
      <c r="A4" s="6" t="s">
        <v>286</v>
      </c>
      <c r="B4">
        <v>6722250</v>
      </c>
    </row>
    <row r="5" spans="1:2" x14ac:dyDescent="0.35">
      <c r="A5" s="6" t="s">
        <v>287</v>
      </c>
      <c r="B5">
        <v>5364300</v>
      </c>
    </row>
    <row r="6" spans="1:2" x14ac:dyDescent="0.35">
      <c r="A6" s="6" t="s">
        <v>288</v>
      </c>
      <c r="B6">
        <v>6298725</v>
      </c>
    </row>
    <row r="7" spans="1:2" x14ac:dyDescent="0.35">
      <c r="A7" s="6" t="s">
        <v>289</v>
      </c>
      <c r="B7">
        <v>6343000</v>
      </c>
    </row>
    <row r="8" spans="1:2" x14ac:dyDescent="0.35">
      <c r="A8" s="6" t="s">
        <v>290</v>
      </c>
      <c r="B8">
        <v>7008500</v>
      </c>
    </row>
    <row r="9" spans="1:2" x14ac:dyDescent="0.35">
      <c r="A9" s="6" t="s">
        <v>291</v>
      </c>
      <c r="B9">
        <v>5397250</v>
      </c>
    </row>
    <row r="10" spans="1:2" x14ac:dyDescent="0.35">
      <c r="A10" s="6" t="s">
        <v>292</v>
      </c>
      <c r="B10">
        <v>6378275</v>
      </c>
    </row>
    <row r="11" spans="1:2" x14ac:dyDescent="0.35">
      <c r="A11" s="6" t="s">
        <v>293</v>
      </c>
      <c r="B11">
        <v>3167425</v>
      </c>
    </row>
    <row r="12" spans="1:2" x14ac:dyDescent="0.35">
      <c r="A12" s="6" t="s">
        <v>269</v>
      </c>
      <c r="B12">
        <v>46679725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9FC1-78C2-48C2-8B9C-37097FCB5895}">
  <dimension ref="A1:E6"/>
  <sheetViews>
    <sheetView zoomScale="92" zoomScaleNormal="92"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26.7265625" style="2" customWidth="1"/>
    <col min="2" max="2" width="31" style="2" customWidth="1"/>
    <col min="3" max="3" width="32" style="2" customWidth="1"/>
    <col min="4" max="4" width="27.81640625" style="2" customWidth="1"/>
    <col min="5" max="5" width="32.1796875" style="2" customWidth="1"/>
  </cols>
  <sheetData>
    <row r="1" spans="1:5" ht="15.5" x14ac:dyDescent="0.35">
      <c r="A1" s="3" t="s">
        <v>239</v>
      </c>
      <c r="B1" s="3" t="s">
        <v>240</v>
      </c>
      <c r="C1" s="3" t="s">
        <v>241</v>
      </c>
      <c r="D1" s="3" t="s">
        <v>242</v>
      </c>
      <c r="E1" s="3" t="s">
        <v>243</v>
      </c>
    </row>
    <row r="2" spans="1:5" ht="58" x14ac:dyDescent="0.35">
      <c r="A2" s="2" t="s">
        <v>244</v>
      </c>
      <c r="B2" s="2" t="s">
        <v>245</v>
      </c>
      <c r="C2" s="2" t="s">
        <v>246</v>
      </c>
      <c r="D2" s="2" t="s">
        <v>248</v>
      </c>
      <c r="E2" s="2" t="s">
        <v>247</v>
      </c>
    </row>
    <row r="3" spans="1:5" ht="72.5" x14ac:dyDescent="0.35">
      <c r="A3" s="2" t="s">
        <v>249</v>
      </c>
      <c r="B3" s="2" t="s">
        <v>250</v>
      </c>
      <c r="C3" s="2" t="s">
        <v>251</v>
      </c>
      <c r="D3" s="2" t="s">
        <v>252</v>
      </c>
      <c r="E3" s="2" t="s">
        <v>253</v>
      </c>
    </row>
    <row r="4" spans="1:5" ht="58" x14ac:dyDescent="0.35">
      <c r="A4" s="2" t="s">
        <v>254</v>
      </c>
      <c r="B4" s="2" t="s">
        <v>255</v>
      </c>
      <c r="C4" s="2" t="s">
        <v>256</v>
      </c>
      <c r="D4" s="2" t="s">
        <v>257</v>
      </c>
      <c r="E4" s="2" t="s">
        <v>258</v>
      </c>
    </row>
    <row r="5" spans="1:5" ht="87" x14ac:dyDescent="0.35">
      <c r="A5" s="2" t="s">
        <v>261</v>
      </c>
      <c r="B5" s="2" t="s">
        <v>262</v>
      </c>
      <c r="C5" s="2" t="s">
        <v>263</v>
      </c>
      <c r="D5" s="2" t="s">
        <v>264</v>
      </c>
      <c r="E5" s="2" t="s">
        <v>265</v>
      </c>
    </row>
    <row r="6" spans="1:5" ht="43.5" x14ac:dyDescent="0.35">
      <c r="A6" s="2" t="s">
        <v>273</v>
      </c>
      <c r="B6" s="2" t="s">
        <v>274</v>
      </c>
      <c r="C6" s="2" t="s">
        <v>275</v>
      </c>
      <c r="D6" s="2" t="s">
        <v>276</v>
      </c>
      <c r="E6" s="2" t="s">
        <v>277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0086fd-9697-4d8b-885c-80d62294bd9a">
      <Terms xmlns="http://schemas.microsoft.com/office/infopath/2007/PartnerControls"/>
    </lcf76f155ced4ddcb4097134ff3c332f>
    <TaxCatchAll xmlns="7a02f105-c32a-4639-a5ba-c1a8d082ecb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CB92A15BD33845908FA881E4B8B35F" ma:contentTypeVersion="19" ma:contentTypeDescription="Create a new document." ma:contentTypeScope="" ma:versionID="5f4c3de6110b8020a2cdcf4e062ecf55">
  <xsd:schema xmlns:xsd="http://www.w3.org/2001/XMLSchema" xmlns:xs="http://www.w3.org/2001/XMLSchema" xmlns:p="http://schemas.microsoft.com/office/2006/metadata/properties" xmlns:ns2="040086fd-9697-4d8b-885c-80d62294bd9a" xmlns:ns3="7a02f105-c32a-4639-a5ba-c1a8d082ecb6" targetNamespace="http://schemas.microsoft.com/office/2006/metadata/properties" ma:root="true" ma:fieldsID="4a5c2cddd3854a8eb0d7154e086e26e1" ns2:_="" ns3:_="">
    <xsd:import namespace="040086fd-9697-4d8b-885c-80d62294bd9a"/>
    <xsd:import namespace="7a02f105-c32a-4639-a5ba-c1a8d082e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086fd-9697-4d8b-885c-80d62294bd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06d58ad-f71d-4181-a183-e1ce6e028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2f105-c32a-4639-a5ba-c1a8d082ecb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23fad05-285d-4899-ba49-b97787b09cf5}" ma:internalName="TaxCatchAll" ma:showField="CatchAllData" ma:web="7a02f105-c32a-4639-a5ba-c1a8d082e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004535-073B-486A-83B4-6B7015171E15}">
  <ds:schemaRefs>
    <ds:schemaRef ds:uri="http://schemas.microsoft.com/office/2006/metadata/properties"/>
    <ds:schemaRef ds:uri="http://schemas.microsoft.com/office/infopath/2007/PartnerControls"/>
    <ds:schemaRef ds:uri="040086fd-9697-4d8b-885c-80d62294bd9a"/>
    <ds:schemaRef ds:uri="7a02f105-c32a-4639-a5ba-c1a8d082ecb6"/>
  </ds:schemaRefs>
</ds:datastoreItem>
</file>

<file path=customXml/itemProps2.xml><?xml version="1.0" encoding="utf-8"?>
<ds:datastoreItem xmlns:ds="http://schemas.openxmlformats.org/officeDocument/2006/customXml" ds:itemID="{E7E956BD-70A5-45C5-A6F9-F800251970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0086fd-9697-4d8b-885c-80d62294bd9a"/>
    <ds:schemaRef ds:uri="7a02f105-c32a-4639-a5ba-c1a8d082ec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4D6F77-C084-4194-A014-BAFAA628CA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Cleaned_Data</vt:lpstr>
      <vt:lpstr>Market_Profit_Pivot</vt:lpstr>
      <vt:lpstr>Product_Category_PivotTable</vt:lpstr>
      <vt:lpstr>Channel _Return_Pivot</vt:lpstr>
      <vt:lpstr>Monthly_Revenue_Pivot</vt:lpstr>
      <vt:lpstr>Data_Quality_Audit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Chidinma Njoku</cp:lastModifiedBy>
  <cp:revision/>
  <dcterms:created xsi:type="dcterms:W3CDTF">2026-09-01T12:33:26Z</dcterms:created>
  <dcterms:modified xsi:type="dcterms:W3CDTF">2026-09-25T16:16:52Z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0x01010051CB92A15BD33845908FA881E4B8B35F</vt:lpwstr>
  </property>
</Properties>
</file>